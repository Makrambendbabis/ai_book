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Blocs" sheetId="3" state="visible" r:id="rId5"/>
    <sheet name="Résultats" sheetId="4" state="visible" r:id="rId6"/>
    <sheet name="Trajectoire" sheetId="5" state="visible" r:id="rId7"/>
    <sheet name="Sensibilités" sheetId="6" state="visible" r:id="rId8"/>
    <sheet name="Cockpit" sheetId="7" state="visible" r:id="rId9"/>
    <sheet name="Catalogue" sheetId="8" state="visible" r:id="rId10"/>
  </sheets>
  <definedNames>
    <definedName function="false" hidden="true" localSheetId="7" name="_xlnm._FilterDatabase" vbProcedure="false">Catalogue!$A$1:$L$206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<sst xmlns="http://schemas.openxmlformats.org/spreadsheetml/2006/main" count="2317" uniqueCount="920">
  <si>
    <t xml:space="preserve">Value tree quantifiée — assureur type (cas d'école fictif)</t>
  </si>
  <si>
    <t xml:space="preserve">Fichier de calcul livré avec le deck « L'IA en assurance et en actuariat » — Accenture Insurance &amp; Actuarial — 7 octobre 2026</t>
  </si>
  <si>
    <t xml:space="preserve">Conventions</t>
  </si>
  <si>
    <t xml:space="preserve">Texte bleu sur fond jaune = hypothèse modifiable (onglet Hypothèses et colonnes H à L de l'onglet Blocs). Texte noir = formule. Texte vert = lien vers un autre onglet.</t>
  </si>
  <si>
    <t xml:space="preserve">Formule du book : impact annuel = base concernée × part adressable × effet unitaire × taux d'adoption × montée en charge − coût de possession.</t>
  </si>
  <si>
    <t xml:space="preserve">Les montants sont en millions d'euros (M€) ; les taux sont stockés en fractions (0,12 = 12 %).</t>
  </si>
  <si>
    <t xml:space="preserve">Onglets</t>
  </si>
  <si>
    <t xml:space="preserve">Hypothèses : paramètres de l'assureur type (primes, S/P, effectifs, coûts, capital, montée en charge, coût de possession).</t>
  </si>
  <si>
    <t xml:space="preserve">Blocs : les 17 blocs de valeur, leur base (formules vers Hypothèses), leurs effets unitaires bas/haut, leur preuve (sourcé / expert) et leurs sources.</t>
  </si>
  <si>
    <t xml:space="preserve">Résultats : valeur annuelle en régime de croisière par levier et par maillon, ratio combiné avant/après, en % des primes.</t>
  </si>
  <si>
    <t xml:space="preserve">Trajectoire : montée en charge 2027-2030, coût de possession, valeur nette et cumul, point mort.</t>
  </si>
  <si>
    <t xml:space="preserve">Sensibilités : variation de la valeur nette de croisière autour du cas médian, une hypothèse à la fois.</t>
  </si>
  <si>
    <t xml:space="preserve">Cockpit : les douze indicateurs tangibles, références et cibles de l'assureur type.</t>
  </si>
  <si>
    <t xml:space="preserve">Catalogue : les 205 cas d'usage du book (maillon, famille, horizon, autonomie, classe AI Act, valeur, faisabilité).</t>
  </si>
  <si>
    <t xml:space="preserve">Avertissement</t>
  </si>
  <si>
    <t xml:space="preserve">Ce n'est pas une prévision : chaque valeur est un paramètre à remplacer par la donnée réelle de l'assureur ; les effets unitaires marqués « Expert » reposent sur un jugement faute de chiffre public ; les blocs se consolident par socle, pas cas par cas ; les effets sinistres se lisent avec 12 à 24 mois de recul.</t>
  </si>
  <si>
    <t xml:space="preserve">Sources des effets unitaires : fiches de benchmark du book (chapitre 11) ; identifiants de fiches rappelés dans l'onglet Blocs.</t>
  </si>
  <si>
    <t xml:space="preserve">Hypothèses de l'assureur type (modifiables : cellules bleues sur fond jaune)</t>
  </si>
  <si>
    <t xml:space="preserve">Années : colonnes B à E = 2027 à 2030 pour la montée en charge et le coût fixe</t>
  </si>
  <si>
    <t xml:space="preserve">Primes émises par ligne (M€)</t>
  </si>
  <si>
    <t xml:space="preserve">Primes Automobile</t>
  </si>
  <si>
    <t xml:space="preserve">Hypothèse de structure</t>
  </si>
  <si>
    <t xml:space="preserve">Primes Habitation</t>
  </si>
  <si>
    <t xml:space="preserve">Primes Santé</t>
  </si>
  <si>
    <t xml:space="preserve">Primes Prévoyance</t>
  </si>
  <si>
    <t xml:space="preserve">Primes Vie, épargne, retraite</t>
  </si>
  <si>
    <t xml:space="preserve">Primes Entreprises et RC</t>
  </si>
  <si>
    <t xml:space="preserve">Ratio sinistres / primes par ligne (hors vie)</t>
  </si>
  <si>
    <t xml:space="preserve">S/P Automobile</t>
  </si>
  <si>
    <t xml:space="preserve">S/P Habitation</t>
  </si>
  <si>
    <t xml:space="preserve">S/P Santé</t>
  </si>
  <si>
    <t xml:space="preserve">S/P Prévoyance</t>
  </si>
  <si>
    <t xml:space="preserve">S/P Entreprises et RC</t>
  </si>
  <si>
    <t xml:space="preserve">Effectifs (ETP) et coûts</t>
  </si>
  <si>
    <t xml:space="preserve">ETP sinistres (dont prestations santé)</t>
  </si>
  <si>
    <t xml:space="preserve">Total 6 000 ETP</t>
  </si>
  <si>
    <t xml:space="preserve">ETP souscription et gestion des contrats</t>
  </si>
  <si>
    <t xml:space="preserve">ETP distribution et support commercial</t>
  </si>
  <si>
    <t xml:space="preserve">ETP relation client</t>
  </si>
  <si>
    <t xml:space="preserve">ETP actuariat, finance, risques, conformité</t>
  </si>
  <si>
    <t xml:space="preserve">ETP IT et data</t>
  </si>
  <si>
    <t xml:space="preserve">ETP fonctions support</t>
  </si>
  <si>
    <t xml:space="preserve">Coût chargé moyen par ETP (M€)</t>
  </si>
  <si>
    <t xml:space="preserve">0,085 M€ = 85 k€</t>
  </si>
  <si>
    <t xml:space="preserve">Frais internes totaux (M€)</t>
  </si>
  <si>
    <t xml:space="preserve">dont personnel 510 M€</t>
  </si>
  <si>
    <t xml:space="preserve">Commissions / primes non-vie</t>
  </si>
  <si>
    <t xml:space="preserve">Autres références</t>
  </si>
  <si>
    <t xml:space="preserve">Fraude détectée aujourd'hui (M€/an)</t>
  </si>
  <si>
    <t xml:space="preserve">Base du bloc L1</t>
  </si>
  <si>
    <t xml:space="preserve">SCR (M€)</t>
  </si>
  <si>
    <t xml:space="preserve">Coût du capital</t>
  </si>
  <si>
    <t xml:space="preserve">Taux de la marge de risque Solvabilité II (6 %)</t>
  </si>
  <si>
    <t xml:space="preserve">Rétention annuelle auto + habitation</t>
  </si>
  <si>
    <t xml:space="preserve">Référence cockpit</t>
  </si>
  <si>
    <t xml:space="preserve">Part des affaires nouvelles dans le portefeuille particuliers</t>
  </si>
  <si>
    <t xml:space="preserve">Base du bloc G2</t>
  </si>
  <si>
    <t xml:space="preserve">Part de contacts clients simples (adressable E3)</t>
  </si>
  <si>
    <t xml:space="preserve">Marges de contribution appliquées à la croissance</t>
  </si>
  <si>
    <t xml:space="preserve">Marge sur primes particuliers</t>
  </si>
  <si>
    <t xml:space="preserve">Hypothèse</t>
  </si>
  <si>
    <t xml:space="preserve">Marge sur primes entreprises</t>
  </si>
  <si>
    <t xml:space="preserve">Valeur des affaires nouvelles vie (% de collecte)</t>
  </si>
  <si>
    <t xml:space="preserve">Répartition des effectifs sinistres et souscription par ligne (pour la lecture par ligne)</t>
  </si>
  <si>
    <t xml:space="preserve">Part des ETP sinistres · Automobile</t>
  </si>
  <si>
    <t xml:space="preserve">Hypothèse (lecture par ligne, non utilisée dans les totaux)</t>
  </si>
  <si>
    <t xml:space="preserve">Part des ETP sinistres · Habitation</t>
  </si>
  <si>
    <t xml:space="preserve">Part des ETP sinistres · Santé</t>
  </si>
  <si>
    <t xml:space="preserve">Part des ETP sinistres · Prévoyance</t>
  </si>
  <si>
    <t xml:space="preserve">Part des ETP sinistres · Entreprises et RC</t>
  </si>
  <si>
    <t xml:space="preserve">Montée en charge : part de l'effet de croisière atteinte (2027, 2028, 2029, 2030)</t>
  </si>
  <si>
    <t xml:space="preserve">Frais (effet rapide)</t>
  </si>
  <si>
    <t xml:space="preserve">fast</t>
  </si>
  <si>
    <t xml:space="preserve">Sinistres / primes (décalage 12-24 mois)</t>
  </si>
  <si>
    <t xml:space="preserve">lag</t>
  </si>
  <si>
    <t xml:space="preserve">Croissance</t>
  </si>
  <si>
    <t xml:space="preserve">mid</t>
  </si>
  <si>
    <t xml:space="preserve">Capital</t>
  </si>
  <si>
    <t xml:space="preserve">slow</t>
  </si>
  <si>
    <t xml:space="preserve">Coût de possession fixe par an (M€) : 2027, 2028, 2029, 2030</t>
  </si>
  <si>
    <t xml:space="preserve">Plateforme et socles</t>
  </si>
  <si>
    <t xml:space="preserve">Intégration aux systèmes cœur</t>
  </si>
  <si>
    <t xml:space="preserve">Données et qualité</t>
  </si>
  <si>
    <t xml:space="preserve">Conduite du changement et formation</t>
  </si>
  <si>
    <t xml:space="preserve">Conformité et contrôle</t>
  </si>
  <si>
    <t xml:space="preserve">Coût variable (modèles, licences, contrôle résiduel) en % de la valeur brute</t>
  </si>
  <si>
    <t xml:space="preserve">Bloc</t>
  </si>
  <si>
    <t xml:space="preserve">Levier</t>
  </si>
  <si>
    <t xml:space="preserve">Maillon</t>
  </si>
  <si>
    <t xml:space="preserve">Mécanisme</t>
  </si>
  <si>
    <t xml:space="preserve">Preuve</t>
  </si>
  <si>
    <t xml:space="preserve">Fiches sources (book)</t>
  </si>
  <si>
    <t xml:space="preserve">Base (M€) — formule</t>
  </si>
  <si>
    <t xml:space="preserve">Part adressable</t>
  </si>
  <si>
    <t xml:space="preserve">Effet unitaire bas</t>
  </si>
  <si>
    <t xml:space="preserve">Effet unitaire haut</t>
  </si>
  <si>
    <t xml:space="preserve">Facteur résultat</t>
  </si>
  <si>
    <t xml:space="preserve">Montée en charge</t>
  </si>
  <si>
    <t xml:space="preserve">Indicateur bas</t>
  </si>
  <si>
    <t xml:space="preserve">Indicateur haut</t>
  </si>
  <si>
    <t xml:space="preserve">Unité</t>
  </si>
  <si>
    <t xml:space="preserve">Résultat bas (M€/an)</t>
  </si>
  <si>
    <t xml:space="preserve">Résultat haut (M€/an)</t>
  </si>
  <si>
    <t xml:space="preserve">E1</t>
  </si>
  <si>
    <t xml:space="preserve">Frais</t>
  </si>
  <si>
    <t xml:space="preserve">Sinistres</t>
  </si>
  <si>
    <t xml:space="preserve">Sinistres : instruction et règlement</t>
  </si>
  <si>
    <t xml:space="preserve">Sourcé</t>
  </si>
  <si>
    <t xml:space="preserve">accenture-genai-hours, allianz-nemo, allstate-genai, pingan-life</t>
  </si>
  <si>
    <t xml:space="preserve">M€</t>
  </si>
  <si>
    <t xml:space="preserve">E2</t>
  </si>
  <si>
    <t xml:space="preserve">Souscription</t>
  </si>
  <si>
    <t xml:space="preserve">Souscription et contrats : ingestion</t>
  </si>
  <si>
    <t xml:space="preserve">zurich-sixfold, hiscox-google, swissre-uwease, manulife-maude</t>
  </si>
  <si>
    <t xml:space="preserve">E3</t>
  </si>
  <si>
    <t xml:space="preserve">Contrats</t>
  </si>
  <si>
    <t xml:space="preserve">Relation client : contacts automatisés</t>
  </si>
  <si>
    <t xml:space="preserve">pingan-ai, allstate-genai, eiopa-genai</t>
  </si>
  <si>
    <t xml:space="preserve">E4</t>
  </si>
  <si>
    <t xml:space="preserve">Distribution</t>
  </si>
  <si>
    <t xml:space="preserve">Distribution : copilotes conseillers</t>
  </si>
  <si>
    <t xml:space="preserve">marsh-lenai, accenture-genai-hours</t>
  </si>
  <si>
    <t xml:space="preserve">E5</t>
  </si>
  <si>
    <t xml:space="preserve">Actuariat</t>
  </si>
  <si>
    <t xml:space="preserve">Actuariat, finance, risques augmentés</t>
  </si>
  <si>
    <t xml:space="preserve">accenture-genai-hours, scor-ai, soa-llm</t>
  </si>
  <si>
    <t xml:space="preserve">E6</t>
  </si>
  <si>
    <t xml:space="preserve">Support</t>
  </si>
  <si>
    <t xml:space="preserve">IT, data, support : assistants internes</t>
  </si>
  <si>
    <t xml:space="preserve">axa-securegpt, marsh-lenai, accenture-genai-hours</t>
  </si>
  <si>
    <t xml:space="preserve">L1</t>
  </si>
  <si>
    <t xml:space="preserve">S/P</t>
  </si>
  <si>
    <t xml:space="preserve">Fraude</t>
  </si>
  <si>
    <t xml:space="preserve">Fraude : détection augmentée</t>
  </si>
  <si>
    <t xml:space="preserve">generali-shift, allianz-incognito, aviva-fraud, pingan-ai</t>
  </si>
  <si>
    <t xml:space="preserve">L2</t>
  </si>
  <si>
    <t xml:space="preserve">Sinistres dommages : fuite de valeur</t>
  </si>
  <si>
    <t xml:space="preserve">Expert</t>
  </si>
  <si>
    <t xml:space="preserve">aviva-tractable, covea-tractable, allianz-nemo</t>
  </si>
  <si>
    <t xml:space="preserve">L3</t>
  </si>
  <si>
    <t xml:space="preserve">Santé : contrôle des prestations</t>
  </si>
  <si>
    <t xml:space="preserve">pingan-ai, tawuniya, bupa-arabia</t>
  </si>
  <si>
    <t xml:space="preserve">L4</t>
  </si>
  <si>
    <t xml:space="preserve">Tarification</t>
  </si>
  <si>
    <t xml:space="preserve">Tarification et sélection dommages</t>
  </si>
  <si>
    <t xml:space="preserve">ki-brit, qbe-accenture, fca-gipp, test-achats</t>
  </si>
  <si>
    <t xml:space="preserve">L5</t>
  </si>
  <si>
    <t xml:space="preserve">Prévention</t>
  </si>
  <si>
    <t xml:space="preserve">Prévention : climat, télématique</t>
  </si>
  <si>
    <t xml:space="preserve">—</t>
  </si>
  <si>
    <t xml:space="preserve">L6</t>
  </si>
  <si>
    <t xml:space="preserve">Recours, subrogation et contentieux</t>
  </si>
  <si>
    <t xml:space="preserve">G1</t>
  </si>
  <si>
    <t xml:space="preserve">Rétention particuliers</t>
  </si>
  <si>
    <t xml:space="preserve">fca-gipp</t>
  </si>
  <si>
    <t xml:space="preserve">M€ primes</t>
  </si>
  <si>
    <t xml:space="preserve">G2</t>
  </si>
  <si>
    <t xml:space="preserve">Conversion, multi-équipement particuliers</t>
  </si>
  <si>
    <t xml:space="preserve">pingan-ai</t>
  </si>
  <si>
    <t xml:space="preserve">G3</t>
  </si>
  <si>
    <t xml:space="preserve">Entreprises : cotation rapide, hit ratio</t>
  </si>
  <si>
    <t xml:space="preserve">hiscox-google, ki-brit, zurich-sixfold</t>
  </si>
  <si>
    <t xml:space="preserve">G4</t>
  </si>
  <si>
    <t xml:space="preserve">Vie, épargne : conseil augmenté, collecte</t>
  </si>
  <si>
    <t xml:space="preserve">pingan-ai, generali-fr</t>
  </si>
  <si>
    <t xml:space="preserve">C1</t>
  </si>
  <si>
    <t xml:space="preserve">Capital : données, ALM, réassurance</t>
  </si>
  <si>
    <t xml:space="preserve">baj-quantum, arxiv-quantum, sii-review</t>
  </si>
  <si>
    <t xml:space="preserve">M€ SCR</t>
  </si>
  <si>
    <t xml:space="preserve">Note : le bloc E3 n'adresse que les contacts simples (part dans Hypothèses) ; les blocs de croissance sont convertis en résultat par la marge ; le bloc C1 par le coût du capital.</t>
  </si>
  <si>
    <t xml:space="preserve">Montée en charge : fast = frais, lag = sinistres (12-24 mois), mid = croissance, slow = capital (courbes dans Hypothèses).</t>
  </si>
  <si>
    <t xml:space="preserve">Valeur annuelle brute en régime de croisière (M€)</t>
  </si>
  <si>
    <t xml:space="preserve">Bas</t>
  </si>
  <si>
    <t xml:space="preserve">Haut</t>
  </si>
  <si>
    <t xml:space="preserve">Lecture</t>
  </si>
  <si>
    <t xml:space="preserve">Total brut</t>
  </si>
  <si>
    <t xml:space="preserve">En % des primes totales</t>
  </si>
  <si>
    <t xml:space="preserve">Coût de possession en croisière (fixe 2030 + variable)</t>
  </si>
  <si>
    <t xml:space="preserve">Valeur nette en croisière</t>
  </si>
  <si>
    <t xml:space="preserve">Par maillon (M€, bas / haut)</t>
  </si>
  <si>
    <t xml:space="preserve">Ratio combiné non-vie (auto, habitation, santé, entreprises)</t>
  </si>
  <si>
    <t xml:space="preserve">Primes non-vie (M€)</t>
  </si>
  <si>
    <t xml:space="preserve">S/P non-vie</t>
  </si>
  <si>
    <t xml:space="preserve">Ratio de frais non-vie (commissions + frais internes au prorata des primes)</t>
  </si>
  <si>
    <t xml:space="preserve">Ratio combiné 2026</t>
  </si>
  <si>
    <t xml:space="preserve">Pont (points de ratio combiné)</t>
  </si>
  <si>
    <t xml:space="preserve">Gain S/P (blocs S/P / primes non-vie)</t>
  </si>
  <si>
    <t xml:space="preserve">Gain de frais (blocs frais × part non-vie / primes non-vie)</t>
  </si>
  <si>
    <t xml:space="preserve">Coût de possession (part non-vie / primes non-vie)</t>
  </si>
  <si>
    <t xml:space="preserve">Ratio combiné cible</t>
  </si>
  <si>
    <t xml:space="preserve">Montée en charge 2027-2030 (M€) : valeur brute = résultat de croisière × part atteinte selon le type de montée en charge</t>
  </si>
  <si>
    <t xml:space="preserve">Type</t>
  </si>
  <si>
    <t xml:space="preserve">Bas 2027</t>
  </si>
  <si>
    <t xml:space="preserve">Bas 2028</t>
  </si>
  <si>
    <t xml:space="preserve">Bas 2029</t>
  </si>
  <si>
    <t xml:space="preserve">Bas 2030</t>
  </si>
  <si>
    <t xml:space="preserve">Haut 2027</t>
  </si>
  <si>
    <t xml:space="preserve">Haut 2028</t>
  </si>
  <si>
    <t xml:space="preserve">Haut 2029</t>
  </si>
  <si>
    <t xml:space="preserve">Haut 2030</t>
  </si>
  <si>
    <t xml:space="preserve">Valeur brute</t>
  </si>
  <si>
    <t xml:space="preserve">Coût fixe</t>
  </si>
  <si>
    <t xml:space="preserve">Coût variable</t>
  </si>
  <si>
    <t xml:space="preserve">Coût de possession</t>
  </si>
  <si>
    <t xml:space="preserve">Valeur nette</t>
  </si>
  <si>
    <t xml:space="preserve">Valeur nette cumulée</t>
  </si>
  <si>
    <t xml:space="preserve">Point mort (première année de cumul positif)</t>
  </si>
  <si>
    <t xml:space="preserve">bas →</t>
  </si>
  <si>
    <t xml:space="preserve">haut →</t>
  </si>
  <si>
    <t xml:space="preserve">Sensibilités de la valeur nette annuelle de croisière (M€), une hypothèse à la fois</t>
  </si>
  <si>
    <t xml:space="preserve">Cas médian : valeur brute = moyenne bas/haut ; coût = fixe 2030 + variable</t>
  </si>
  <si>
    <t xml:space="preserve">Valeur brute médiane</t>
  </si>
  <si>
    <t xml:space="preserve">Blocs frais, médiane</t>
  </si>
  <si>
    <t xml:space="preserve">Blocs S/P, médiane</t>
  </si>
  <si>
    <t xml:space="preserve">Coût fixe 2030</t>
  </si>
  <si>
    <t xml:space="preserve">Valeur nette médiane</t>
  </si>
  <si>
    <t xml:space="preserve">Hypothèse testée</t>
  </si>
  <si>
    <t xml:space="preserve">Dégradé</t>
  </si>
  <si>
    <t xml:space="preserve">Amélioré</t>
  </si>
  <si>
    <t xml:space="preserve">Définition</t>
  </si>
  <si>
    <t xml:space="preserve">Adoption effective −30 % / +30 %</t>
  </si>
  <si>
    <t xml:space="preserve">Toute la valeur brute × 0,7 ou × 1,3</t>
  </si>
  <si>
    <t xml:space="preserve">Capacité libérée réalisée à 50 % / 100 % (choix RH)</t>
  </si>
  <si>
    <t xml:space="preserve">Moitié des blocs frais non convertie en économie</t>
  </si>
  <si>
    <t xml:space="preserve">Effets S/P : borne basse / borne haute</t>
  </si>
  <si>
    <t xml:space="preserve">Écart au médian des blocs S/P (hors effet sur le coût variable)</t>
  </si>
  <si>
    <t xml:space="preserve">Coût de possession fixe +40 % / −20 %</t>
  </si>
  <si>
    <t xml:space="preserve">Coût fixe × 1,4 ou × 0,8</t>
  </si>
  <si>
    <t xml:space="preserve">Effets frais : borne basse / borne haute</t>
  </si>
  <si>
    <t xml:space="preserve">Écart au médian des blocs frais (hors effet sur le coût variable)</t>
  </si>
  <si>
    <t xml:space="preserve">Indicateur tangible</t>
  </si>
  <si>
    <t xml:space="preserve">Référence 2026</t>
  </si>
  <si>
    <t xml:space="preserve">Cible 2028</t>
  </si>
  <si>
    <t xml:space="preserve">Cible 2030</t>
  </si>
  <si>
    <t xml:space="preserve">Propriétaire</t>
  </si>
  <si>
    <t xml:space="preserve">Traitement automatique des sinistres simples</t>
  </si>
  <si>
    <t xml:space="preserve">8 %</t>
  </si>
  <si>
    <t xml:space="preserve">25 %</t>
  </si>
  <si>
    <t xml:space="preserve">45 %</t>
  </si>
  <si>
    <t xml:space="preserve">Dir. sinistres</t>
  </si>
  <si>
    <t xml:space="preserve">Délai de règlement d'un sinistre simple (jours)</t>
  </si>
  <si>
    <t xml:space="preserve">12</t>
  </si>
  <si>
    <t xml:space="preserve">7</t>
  </si>
  <si>
    <t xml:space="preserve">4</t>
  </si>
  <si>
    <t xml:space="preserve">Délai de cotation entreprises (jours ouvrés)</t>
  </si>
  <si>
    <t xml:space="preserve">3</t>
  </si>
  <si>
    <t xml:space="preserve">1</t>
  </si>
  <si>
    <t xml:space="preserve">&lt; 0,5</t>
  </si>
  <si>
    <t xml:space="preserve">Dir. souscription</t>
  </si>
  <si>
    <t xml:space="preserve">E2 · G3</t>
  </si>
  <si>
    <t xml:space="preserve">Approbation automatique prévoyance-vie (éligibles)</t>
  </si>
  <si>
    <t xml:space="preserve">30 %</t>
  </si>
  <si>
    <t xml:space="preserve">60 %</t>
  </si>
  <si>
    <t xml:space="preserve">Résolution automatique des contacts simples</t>
  </si>
  <si>
    <t xml:space="preserve">10 %</t>
  </si>
  <si>
    <t xml:space="preserve">40 %</t>
  </si>
  <si>
    <t xml:space="preserve">Relation client</t>
  </si>
  <si>
    <t xml:space="preserve">Fraude évitée (M€ par an)</t>
  </si>
  <si>
    <t xml:space="preserve">20</t>
  </si>
  <si>
    <t xml:space="preserve">26</t>
  </si>
  <si>
    <t xml:space="preserve">32 – 40</t>
  </si>
  <si>
    <t xml:space="preserve">Dir. fraude</t>
  </si>
  <si>
    <t xml:space="preserve">Fuite de valeur sinistres dommages (échantillon)</t>
  </si>
  <si>
    <t xml:space="preserve">mesure T0</t>
  </si>
  <si>
    <t xml:space="preserve">−0,4 pt</t>
  </si>
  <si>
    <t xml:space="preserve">−0,8 pt</t>
  </si>
  <si>
    <t xml:space="preserve">Contrôle technique</t>
  </si>
  <si>
    <t xml:space="preserve">Rétention auto et habitation</t>
  </si>
  <si>
    <t xml:space="preserve">87,0 %</t>
  </si>
  <si>
    <t xml:space="preserve">87,5 %</t>
  </si>
  <si>
    <t xml:space="preserve">88,0 %</t>
  </si>
  <si>
    <t xml:space="preserve">Dir. marketing</t>
  </si>
  <si>
    <t xml:space="preserve">Délai de clôture trimestrielle (jours ouvrés)</t>
  </si>
  <si>
    <t xml:space="preserve">25</t>
  </si>
  <si>
    <t xml:space="preserve">18</t>
  </si>
  <si>
    <t xml:space="preserve">Dir. financière</t>
  </si>
  <si>
    <t xml:space="preserve">Coût IA par transaction (€ par dossier)</t>
  </si>
  <si>
    <t xml:space="preserve">n/a</t>
  </si>
  <si>
    <t xml:space="preserve">mesuré</t>
  </si>
  <si>
    <t xml:space="preserve">en baisse</t>
  </si>
  <si>
    <t xml:space="preserve">DSI</t>
  </si>
  <si>
    <t xml:space="preserve">TCO</t>
  </si>
  <si>
    <t xml:space="preserve">Annulation en appel des refus de prestation</t>
  </si>
  <si>
    <t xml:space="preserve">stable</t>
  </si>
  <si>
    <t xml:space="preserve">Conformité</t>
  </si>
  <si>
    <t xml:space="preserve">garde-fou</t>
  </si>
  <si>
    <t xml:space="preserve">Systèmes d'IA inventoriés et classés (AI Act)</t>
  </si>
  <si>
    <t xml:space="preserve">100 %</t>
  </si>
  <si>
    <t xml:space="preserve">Risques</t>
  </si>
  <si>
    <t xml:space="preserve">Cibles indicatives de l'assureur type, à recalibrer sur la mesure T0 réelle ; un propriétaire unique par indicateur ; les deux garde-fous ne doivent jamais se dégrader.</t>
  </si>
  <si>
    <t xml:space="preserve">Cas</t>
  </si>
  <si>
    <t xml:space="preserve">Famille</t>
  </si>
  <si>
    <t xml:space="preserve">Horizon</t>
  </si>
  <si>
    <t xml:space="preserve">Autonomie</t>
  </si>
  <si>
    <t xml:space="preserve">Classe AI Act</t>
  </si>
  <si>
    <t xml:space="preserve">Valeur /5</t>
  </si>
  <si>
    <t xml:space="preserve">Faisabilité /5</t>
  </si>
  <si>
    <t xml:space="preserve">Intitulé</t>
  </si>
  <si>
    <t xml:space="preserve">Socles</t>
  </si>
  <si>
    <t xml:space="preserve">Leviers</t>
  </si>
  <si>
    <t xml:space="preserve">Fiches benchmark</t>
  </si>
  <si>
    <t xml:space="preserve">STR-01</t>
  </si>
  <si>
    <t xml:space="preserve">Stratégie</t>
  </si>
  <si>
    <t xml:space="preserve">Génératif</t>
  </si>
  <si>
    <t xml:space="preserve">H1</t>
  </si>
  <si>
    <t xml:space="preserve">Minimal</t>
  </si>
  <si>
    <t xml:space="preserve">Veille concurrentielle et réglementaire augmentée</t>
  </si>
  <si>
    <t xml:space="preserve">kb, doc</t>
  </si>
  <si>
    <t xml:space="preserve">gr, risk</t>
  </si>
  <si>
    <t xml:space="preserve">evident-2026</t>
  </si>
  <si>
    <t xml:space="preserve">STR-02</t>
  </si>
  <si>
    <t xml:space="preserve">Jumeau</t>
  </si>
  <si>
    <t xml:space="preserve">H2</t>
  </si>
  <si>
    <t xml:space="preserve">Conception produit assistée et test de concept simulé</t>
  </si>
  <si>
    <t xml:space="preserve">sim, kb, price</t>
  </si>
  <si>
    <t xml:space="preserve">gr</t>
  </si>
  <si>
    <t xml:space="preserve">STR-03</t>
  </si>
  <si>
    <t xml:space="preserve">ML prédictif</t>
  </si>
  <si>
    <t xml:space="preserve">Détection des déficits de protection et des risques émergents</t>
  </si>
  <si>
    <t xml:space="preserve">ext, geo</t>
  </si>
  <si>
    <t xml:space="preserve">ia-humain</t>
  </si>
  <si>
    <t xml:space="preserve">STR-04</t>
  </si>
  <si>
    <t xml:space="preserve">Rédaction et contrôle des conditions générales</t>
  </si>
  <si>
    <t xml:space="preserve">doc, kb</t>
  </si>
  <si>
    <t xml:space="preserve">risk, gr</t>
  </si>
  <si>
    <t xml:space="preserve">STR-05</t>
  </si>
  <si>
    <t xml:space="preserve">Jumeau numérique du portefeuille pour l'arbitrage stratégique</t>
  </si>
  <si>
    <t xml:space="preserve">sim, price</t>
  </si>
  <si>
    <t xml:space="preserve">gr, cap</t>
  </si>
  <si>
    <t xml:space="preserve">STR-06</t>
  </si>
  <si>
    <t xml:space="preserve">Optimisation / quantique</t>
  </si>
  <si>
    <t xml:space="preserve">Allocation de capacité et pilotage du mix par segment</t>
  </si>
  <si>
    <t xml:space="preserve">opt, sim</t>
  </si>
  <si>
    <t xml:space="preserve">gr, cap, lr</t>
  </si>
  <si>
    <t xml:space="preserve">allstate-ibm-quantum</t>
  </si>
  <si>
    <t xml:space="preserve">STR-07</t>
  </si>
  <si>
    <t xml:space="preserve">Conception de produits paramétriques et embarqués</t>
  </si>
  <si>
    <t xml:space="preserve">geo, ext, sim</t>
  </si>
  <si>
    <t xml:space="preserve">gr, lr</t>
  </si>
  <si>
    <t xml:space="preserve">PRC-01</t>
  </si>
  <si>
    <t xml:space="preserve">Prime pure par machine learning interprétable</t>
  </si>
  <si>
    <t xml:space="preserve">price, mrm</t>
  </si>
  <si>
    <t xml:space="preserve">lr, gr</t>
  </si>
  <si>
    <t xml:space="preserve">PRC-02</t>
  </si>
  <si>
    <t xml:space="preserve">Haut risque</t>
  </si>
  <si>
    <t xml:space="preserve">Tarification santé et prévoyance des personnes physiques</t>
  </si>
  <si>
    <t xml:space="preserve">lr, risk</t>
  </si>
  <si>
    <t xml:space="preserve">acpr-fairness, eiopa-opinion</t>
  </si>
  <si>
    <t xml:space="preserve">PRC-03</t>
  </si>
  <si>
    <t xml:space="preserve">Optimisation tarifaire sous contraintes</t>
  </si>
  <si>
    <t xml:space="preserve">price, opt, mrm</t>
  </si>
  <si>
    <t xml:space="preserve">gr, lr, risk</t>
  </si>
  <si>
    <t xml:space="preserve">PRC-04</t>
  </si>
  <si>
    <t xml:space="preserve">Agentique</t>
  </si>
  <si>
    <t xml:space="preserve">Agent de révision tarifaire</t>
  </si>
  <si>
    <t xml:space="preserve">price, orch, mrm</t>
  </si>
  <si>
    <t xml:space="preserve">lr, er, gr</t>
  </si>
  <si>
    <t xml:space="preserve">PRC-05</t>
  </si>
  <si>
    <t xml:space="preserve">Zonier géo-climatique enrichi</t>
  </si>
  <si>
    <t xml:space="preserve">geo, price</t>
  </si>
  <si>
    <t xml:space="preserve">lr</t>
  </si>
  <si>
    <t xml:space="preserve">PRC-06</t>
  </si>
  <si>
    <t xml:space="preserve">Tarification à l'usage et télématique</t>
  </si>
  <si>
    <t xml:space="preserve">ext, price</t>
  </si>
  <si>
    <t xml:space="preserve">PRC-07</t>
  </si>
  <si>
    <t xml:space="preserve">Tarification des risques professionnels par données externes</t>
  </si>
  <si>
    <t xml:space="preserve">price, ext, doc</t>
  </si>
  <si>
    <t xml:space="preserve">PRC-08</t>
  </si>
  <si>
    <t xml:space="preserve">Tarification cyber par analyse de la surface d'attaque</t>
  </si>
  <si>
    <t xml:space="preserve">PRC-09</t>
  </si>
  <si>
    <t xml:space="preserve">Surveillance continue des modèles tarifaires</t>
  </si>
  <si>
    <t xml:space="preserve">mrm, orch</t>
  </si>
  <si>
    <t xml:space="preserve">PRC-10</t>
  </si>
  <si>
    <t xml:space="preserve">Tests d'équité et de discrimination indirecte</t>
  </si>
  <si>
    <t xml:space="preserve">mrm, price</t>
  </si>
  <si>
    <t xml:space="preserve">risk</t>
  </si>
  <si>
    <t xml:space="preserve">acpr-fairness</t>
  </si>
  <si>
    <t xml:space="preserve">PRC-11</t>
  </si>
  <si>
    <t xml:space="preserve">Copilote de l'actuaire tarification</t>
  </si>
  <si>
    <t xml:space="preserve">code, kb</t>
  </si>
  <si>
    <t xml:space="preserve">er, cx</t>
  </si>
  <si>
    <t xml:space="preserve">PRC-12</t>
  </si>
  <si>
    <t xml:space="preserve">Jumeau numérique de la tarification</t>
  </si>
  <si>
    <t xml:space="preserve">sim, price, opt</t>
  </si>
  <si>
    <t xml:space="preserve">PRC-13</t>
  </si>
  <si>
    <t xml:space="preserve">Études d'expérience vie et santé augmentées</t>
  </si>
  <si>
    <t xml:space="preserve">lr, cap</t>
  </si>
  <si>
    <t xml:space="preserve">PRC-14</t>
  </si>
  <si>
    <t xml:space="preserve">Modélisation du comportement des assurés vie</t>
  </si>
  <si>
    <t xml:space="preserve">price, sim</t>
  </si>
  <si>
    <t xml:space="preserve">cap, gr</t>
  </si>
  <si>
    <t xml:space="preserve">DST-01</t>
  </si>
  <si>
    <t xml:space="preserve">Prochaine meilleure offre multi-produits</t>
  </si>
  <si>
    <t xml:space="preserve">c360</t>
  </si>
  <si>
    <t xml:space="preserve">DST-02</t>
  </si>
  <si>
    <t xml:space="preserve">Prédiction de l'attrition et rétention proactive</t>
  </si>
  <si>
    <t xml:space="preserve">c360, orch</t>
  </si>
  <si>
    <t xml:space="preserve">gr, cx</t>
  </si>
  <si>
    <t xml:space="preserve">DST-03</t>
  </si>
  <si>
    <t xml:space="preserve">Copilote du conseiller et de l'agent général</t>
  </si>
  <si>
    <t xml:space="preserve">c360, kb</t>
  </si>
  <si>
    <t xml:space="preserve">gr, cx, er</t>
  </si>
  <si>
    <t xml:space="preserve">DST-04</t>
  </si>
  <si>
    <t xml:space="preserve">Transparence</t>
  </si>
  <si>
    <t xml:space="preserve">Agent conversationnel de devis et de souscription</t>
  </si>
  <si>
    <t xml:space="preserve">conv, price, orch</t>
  </si>
  <si>
    <t xml:space="preserve">gr, er</t>
  </si>
  <si>
    <t xml:space="preserve">DST-05</t>
  </si>
  <si>
    <t xml:space="preserve">Contenus marketing personnalisés sous contrôle conformité</t>
  </si>
  <si>
    <t xml:space="preserve">kb</t>
  </si>
  <si>
    <t xml:space="preserve">DST-06</t>
  </si>
  <si>
    <t xml:space="preserve">Contrôle du devoir de conseil</t>
  </si>
  <si>
    <t xml:space="preserve">DST-07</t>
  </si>
  <si>
    <t xml:space="preserve">Optimisation du mix média et du coût d'acquisition</t>
  </si>
  <si>
    <t xml:space="preserve">opt, c360</t>
  </si>
  <si>
    <t xml:space="preserve">DST-08</t>
  </si>
  <si>
    <t xml:space="preserve">Assurance embarquée chez les partenaires</t>
  </si>
  <si>
    <t xml:space="preserve">orch, price, c360</t>
  </si>
  <si>
    <t xml:space="preserve">DST-09</t>
  </si>
  <si>
    <t xml:space="preserve">Prospection entreprises augmentée</t>
  </si>
  <si>
    <t xml:space="preserve">ext, c360</t>
  </si>
  <si>
    <t xml:space="preserve">DST-10</t>
  </si>
  <si>
    <t xml:space="preserve">H3</t>
  </si>
  <si>
    <t xml:space="preserve">Dialogue entre agents de l'assureur et agents des clients</t>
  </si>
  <si>
    <t xml:space="preserve">orch, conv</t>
  </si>
  <si>
    <t xml:space="preserve">UW-01</t>
  </si>
  <si>
    <t xml:space="preserve">Ingestion des soumissions courtiers</t>
  </si>
  <si>
    <t xml:space="preserve">doc, orch</t>
  </si>
  <si>
    <t xml:space="preserve">hiscox-google</t>
  </si>
  <si>
    <t xml:space="preserve">UW-02</t>
  </si>
  <si>
    <t xml:space="preserve">Tri et priorisation des soumissions</t>
  </si>
  <si>
    <t xml:space="preserve">price, doc</t>
  </si>
  <si>
    <t xml:space="preserve">UW-03</t>
  </si>
  <si>
    <t xml:space="preserve">Copilote du souscripteur grands risques</t>
  </si>
  <si>
    <t xml:space="preserve">qbe-accenture, swissre-scout, scor-ai</t>
  </si>
  <si>
    <t xml:space="preserve">UW-04</t>
  </si>
  <si>
    <t xml:space="preserve">Sélection médicale automatisée en prévoyance et emprunteur</t>
  </si>
  <si>
    <t xml:space="preserve">orch, doc, mrm</t>
  </si>
  <si>
    <t xml:space="preserve">gr, er, risk</t>
  </si>
  <si>
    <t xml:space="preserve">pingan-ai, manulife-maude</t>
  </si>
  <si>
    <t xml:space="preserve">UW-05</t>
  </si>
  <si>
    <t xml:space="preserve">Lecture des rapports médicaux</t>
  </si>
  <si>
    <t xml:space="preserve">doc, mrm</t>
  </si>
  <si>
    <t xml:space="preserve">er, gr</t>
  </si>
  <si>
    <t xml:space="preserve">scor-ai</t>
  </si>
  <si>
    <t xml:space="preserve">UW-06</t>
  </si>
  <si>
    <t xml:space="preserve">Inspection à distance par imagerie</t>
  </si>
  <si>
    <t xml:space="preserve">cv, geo</t>
  </si>
  <si>
    <t xml:space="preserve">lr, er</t>
  </si>
  <si>
    <t xml:space="preserve">UW-07</t>
  </si>
  <si>
    <t xml:space="preserve">Agent de souscription PME de bout en bout</t>
  </si>
  <si>
    <t xml:space="preserve">orch, price, doc, ext</t>
  </si>
  <si>
    <t xml:space="preserve">gr, er, lr</t>
  </si>
  <si>
    <t xml:space="preserve">UW-08</t>
  </si>
  <si>
    <t xml:space="preserve">Contrôle des cumuls et de l'exposition en temps réel</t>
  </si>
  <si>
    <t xml:space="preserve">geo, sim</t>
  </si>
  <si>
    <t xml:space="preserve">cap, lr</t>
  </si>
  <si>
    <t xml:space="preserve">UW-09</t>
  </si>
  <si>
    <t xml:space="preserve">Analyse des clauses et exclusions</t>
  </si>
  <si>
    <t xml:space="preserve">UW-10</t>
  </si>
  <si>
    <t xml:space="preserve">Renouvellements automatisés avec revue par exception</t>
  </si>
  <si>
    <t xml:space="preserve">orch, price</t>
  </si>
  <si>
    <t xml:space="preserve">er, lr, gr</t>
  </si>
  <si>
    <t xml:space="preserve">POL-01</t>
  </si>
  <si>
    <t xml:space="preserve">Traitement automatisé des avenants et demandes</t>
  </si>
  <si>
    <t xml:space="preserve">orch, doc</t>
  </si>
  <si>
    <t xml:space="preserve">POL-02</t>
  </si>
  <si>
    <t xml:space="preserve">Agent de service client omnicanal</t>
  </si>
  <si>
    <t xml:space="preserve">conv, orch, kb</t>
  </si>
  <si>
    <t xml:space="preserve">cx, er</t>
  </si>
  <si>
    <t xml:space="preserve">POL-03</t>
  </si>
  <si>
    <t xml:space="preserve">Assistant du gestionnaire sur les procédures</t>
  </si>
  <si>
    <t xml:space="preserve">POL-04</t>
  </si>
  <si>
    <t xml:space="preserve">Classification et routage des flux entrants</t>
  </si>
  <si>
    <t xml:space="preserve">doc</t>
  </si>
  <si>
    <t xml:space="preserve">er</t>
  </si>
  <si>
    <t xml:space="preserve">axa-hub</t>
  </si>
  <si>
    <t xml:space="preserve">POL-05</t>
  </si>
  <si>
    <t xml:space="preserve">Gestion des contrats collectifs et des affiliations</t>
  </si>
  <si>
    <t xml:space="preserve">POL-06</t>
  </si>
  <si>
    <t xml:space="preserve">Encaissement et recouvrement intelligents</t>
  </si>
  <si>
    <t xml:space="preserve">POL-07</t>
  </si>
  <si>
    <t xml:space="preserve">Analyse des réclamations et de la voix du client</t>
  </si>
  <si>
    <t xml:space="preserve">cx, risk</t>
  </si>
  <si>
    <t xml:space="preserve">POL-08</t>
  </si>
  <si>
    <t xml:space="preserve">Recherche des bénéficiaires et contrats non réclamés</t>
  </si>
  <si>
    <t xml:space="preserve">c360, orch, doc</t>
  </si>
  <si>
    <t xml:space="preserve">risk, cx</t>
  </si>
  <si>
    <t xml:space="preserve">generali-fr</t>
  </si>
  <si>
    <t xml:space="preserve">PRV-01</t>
  </si>
  <si>
    <t xml:space="preserve">Alertes de prévention climatique personnalisées</t>
  </si>
  <si>
    <t xml:space="preserve">geo, orch, conv</t>
  </si>
  <si>
    <t xml:space="preserve">lr, cx</t>
  </si>
  <si>
    <t xml:space="preserve">PRV-02</t>
  </si>
  <si>
    <t xml:space="preserve">Coaching de conduite</t>
  </si>
  <si>
    <t xml:space="preserve">ext</t>
  </si>
  <si>
    <t xml:space="preserve">PRV-03</t>
  </si>
  <si>
    <t xml:space="preserve">Accompagnement santé et bien-être personnalisé</t>
  </si>
  <si>
    <t xml:space="preserve">conv, c360</t>
  </si>
  <si>
    <t xml:space="preserve">PRV-04</t>
  </si>
  <si>
    <t xml:space="preserve">Détection des fuites et sinistres par capteurs</t>
  </si>
  <si>
    <t xml:space="preserve">PRV-05</t>
  </si>
  <si>
    <t xml:space="preserve">Prévention cyber guidée pour les PME</t>
  </si>
  <si>
    <t xml:space="preserve">ext, orch</t>
  </si>
  <si>
    <t xml:space="preserve">PRV-06</t>
  </si>
  <si>
    <t xml:space="preserve">Prévention de l'absentéisme en contrats collectifs</t>
  </si>
  <si>
    <t xml:space="preserve">CLM-01</t>
  </si>
  <si>
    <t xml:space="preserve">Déclaration de sinistre conversationnelle</t>
  </si>
  <si>
    <t xml:space="preserve">conv, doc, orch</t>
  </si>
  <si>
    <t xml:space="preserve">lemonade</t>
  </si>
  <si>
    <t xml:space="preserve">CLM-02</t>
  </si>
  <si>
    <t xml:space="preserve">Triage et orientation des sinistres</t>
  </si>
  <si>
    <t xml:space="preserve">lr, er, cx</t>
  </si>
  <si>
    <t xml:space="preserve">CLM-03</t>
  </si>
  <si>
    <t xml:space="preserve">Expertise automobile sur photos</t>
  </si>
  <si>
    <t xml:space="preserve">cv</t>
  </si>
  <si>
    <t xml:space="preserve">aviva-tractable, covea-tractable, pingan-ai</t>
  </si>
  <si>
    <t xml:space="preserve">CLM-04</t>
  </si>
  <si>
    <t xml:space="preserve">Expertise habitation à distance</t>
  </si>
  <si>
    <t xml:space="preserve">cv, doc</t>
  </si>
  <si>
    <t xml:space="preserve">CLM-05</t>
  </si>
  <si>
    <t xml:space="preserve">Règlement automatique des sinistres simples</t>
  </si>
  <si>
    <t xml:space="preserve">allianz-nemo, lemonade, axa-hub, celent-2025</t>
  </si>
  <si>
    <t xml:space="preserve">CLM-06</t>
  </si>
  <si>
    <t xml:space="preserve">Gestion des pics de sinistres climatiques</t>
  </si>
  <si>
    <t xml:space="preserve">orch, geo, doc</t>
  </si>
  <si>
    <t xml:space="preserve">cx, er, lr</t>
  </si>
  <si>
    <t xml:space="preserve">allianz-nemo</t>
  </si>
  <si>
    <t xml:space="preserve">CLM-07</t>
  </si>
  <si>
    <t xml:space="preserve">Copilote du gestionnaire sinistres</t>
  </si>
  <si>
    <t xml:space="preserve">allstate-genai</t>
  </si>
  <si>
    <t xml:space="preserve">CLM-08</t>
  </si>
  <si>
    <t xml:space="preserve">Rédaction des communications sinistres</t>
  </si>
  <si>
    <t xml:space="preserve">CLM-09</t>
  </si>
  <si>
    <t xml:space="preserve">Analyse de couverture assistée</t>
  </si>
  <si>
    <t xml:space="preserve">CLM-10</t>
  </si>
  <si>
    <t xml:space="preserve">Détection des opportunités de recours</t>
  </si>
  <si>
    <t xml:space="preserve">doc, graph</t>
  </si>
  <si>
    <t xml:space="preserve">CLM-11</t>
  </si>
  <si>
    <t xml:space="preserve">Sinistres corporels et graves : évaluation assistée</t>
  </si>
  <si>
    <t xml:space="preserve">doc, kb, mrm</t>
  </si>
  <si>
    <t xml:space="preserve">CLM-12</t>
  </si>
  <si>
    <t xml:space="preserve">Orientation vers les réseaux de réparation</t>
  </si>
  <si>
    <t xml:space="preserve">opt, cv</t>
  </si>
  <si>
    <t xml:space="preserve">CLM-13</t>
  </si>
  <si>
    <t xml:space="preserve">Remboursements santé automatisés</t>
  </si>
  <si>
    <t xml:space="preserve">pingan-ai, pingan-life, bupa-arabia</t>
  </si>
  <si>
    <t xml:space="preserve">CLM-14</t>
  </si>
  <si>
    <t xml:space="preserve">Instruction des prestations décès, arrêt et invalidité</t>
  </si>
  <si>
    <t xml:space="preserve">doc, orch, kb</t>
  </si>
  <si>
    <t xml:space="preserve">CLM-15</t>
  </si>
  <si>
    <t xml:space="preserve">Revue qualité des sinistres clos</t>
  </si>
  <si>
    <t xml:space="preserve">CLM-16</t>
  </si>
  <si>
    <t xml:space="preserve">Sinistres complexes et contentieux : préparation juridique</t>
  </si>
  <si>
    <t xml:space="preserve">FRD-01</t>
  </si>
  <si>
    <t xml:space="preserve">Score de fraude sinistres en temps réel</t>
  </si>
  <si>
    <t xml:space="preserve">graph, doc</t>
  </si>
  <si>
    <t xml:space="preserve">allianz-incognito, pingan-ai</t>
  </si>
  <si>
    <t xml:space="preserve">FRD-02</t>
  </si>
  <si>
    <t xml:space="preserve">Analyse de réseaux et fraude organisée</t>
  </si>
  <si>
    <t xml:space="preserve">graph, c360</t>
  </si>
  <si>
    <t xml:space="preserve">FRD-03</t>
  </si>
  <si>
    <t xml:space="preserve">Détection des preuves générées ou manipulées par IA</t>
  </si>
  <si>
    <t xml:space="preserve">aviva-fraud</t>
  </si>
  <si>
    <t xml:space="preserve">FRD-04</t>
  </si>
  <si>
    <t xml:space="preserve">Fraude à la souscription et faux intermédiaires</t>
  </si>
  <si>
    <t xml:space="preserve">FRD-05</t>
  </si>
  <si>
    <t xml:space="preserve">Agent d'appui à l'enquête</t>
  </si>
  <si>
    <t xml:space="preserve">orch, graph, doc</t>
  </si>
  <si>
    <t xml:space="preserve">FRD-06</t>
  </si>
  <si>
    <t xml:space="preserve">Fraude et abus des prestataires de santé</t>
  </si>
  <si>
    <t xml:space="preserve">tawuniya</t>
  </si>
  <si>
    <t xml:space="preserve">RE-01</t>
  </si>
  <si>
    <t xml:space="preserve">Réassurance</t>
  </si>
  <si>
    <t xml:space="preserve">Optimisation du programme de réassurance</t>
  </si>
  <si>
    <t xml:space="preserve">RE-02</t>
  </si>
  <si>
    <t xml:space="preserve">Structuration des bordereaux et comptes</t>
  </si>
  <si>
    <t xml:space="preserve">er, cap</t>
  </si>
  <si>
    <t xml:space="preserve">RE-03</t>
  </si>
  <si>
    <t xml:space="preserve">Préparation des renouvellements de réassurance</t>
  </si>
  <si>
    <t xml:space="preserve">orch, doc, sim</t>
  </si>
  <si>
    <t xml:space="preserve">cap, er</t>
  </si>
  <si>
    <t xml:space="preserve">RE-04</t>
  </si>
  <si>
    <t xml:space="preserve">Contrôle des clauses de traités</t>
  </si>
  <si>
    <t xml:space="preserve">risk, cap</t>
  </si>
  <si>
    <t xml:space="preserve">RE-05</t>
  </si>
  <si>
    <t xml:space="preserve">Recouvrements de réassurance et réconciliation</t>
  </si>
  <si>
    <t xml:space="preserve">RE-06</t>
  </si>
  <si>
    <t xml:space="preserve">Modélisation des catastrophes naturelles augmentée</t>
  </si>
  <si>
    <t xml:space="preserve">RES-01</t>
  </si>
  <si>
    <t xml:space="preserve">Provisions</t>
  </si>
  <si>
    <t xml:space="preserve">Provisionnement ligne à ligne par machine learning</t>
  </si>
  <si>
    <t xml:space="preserve">mrm, doc</t>
  </si>
  <si>
    <t xml:space="preserve">cap</t>
  </si>
  <si>
    <t xml:space="preserve">RES-02</t>
  </si>
  <si>
    <t xml:space="preserve">Agent de clôture actuarielle</t>
  </si>
  <si>
    <t xml:space="preserve">orch, mrm</t>
  </si>
  <si>
    <t xml:space="preserve">RES-03</t>
  </si>
  <si>
    <t xml:space="preserve">Détection précoce des dérives de sinistralité</t>
  </si>
  <si>
    <t xml:space="preserve">mrm</t>
  </si>
  <si>
    <t xml:space="preserve">RES-04</t>
  </si>
  <si>
    <t xml:space="preserve">Rédaction des rapports actuariels et réglementaires</t>
  </si>
  <si>
    <t xml:space="preserve">risk, er</t>
  </si>
  <si>
    <t xml:space="preserve">sii-review</t>
  </si>
  <si>
    <t xml:space="preserve">RES-05</t>
  </si>
  <si>
    <t xml:space="preserve">IFRS 17 : analyse des mouvements et réconciliations</t>
  </si>
  <si>
    <t xml:space="preserve">RES-06</t>
  </si>
  <si>
    <t xml:space="preserve">Validation indépendante et réplication de modèles</t>
  </si>
  <si>
    <t xml:space="preserve">code, mrm, orch</t>
  </si>
  <si>
    <t xml:space="preserve">RES-07</t>
  </si>
  <si>
    <t xml:space="preserve">Jumeau numérique de la clôture</t>
  </si>
  <si>
    <t xml:space="preserve">sim</t>
  </si>
  <si>
    <t xml:space="preserve">RES-08</t>
  </si>
  <si>
    <t xml:space="preserve">Qualité des données actuarielles</t>
  </si>
  <si>
    <t xml:space="preserve">cap, risk</t>
  </si>
  <si>
    <t xml:space="preserve">CAP-01</t>
  </si>
  <si>
    <t xml:space="preserve">Capital &amp; ALM</t>
  </si>
  <si>
    <t xml:space="preserve">Fonctions proxy par machine learning pour le capital</t>
  </si>
  <si>
    <t xml:space="preserve">sim, mrm</t>
  </si>
  <si>
    <t xml:space="preserve">CAP-02</t>
  </si>
  <si>
    <t xml:space="preserve">Jumeau numérique du bilan et ORSA continu</t>
  </si>
  <si>
    <t xml:space="preserve">CAP-03</t>
  </si>
  <si>
    <t xml:space="preserve">Générateur de scénarios économiques et climatiques</t>
  </si>
  <si>
    <t xml:space="preserve">CAP-04</t>
  </si>
  <si>
    <t xml:space="preserve">Optimisation ALM et allocation stratégique d'actifs</t>
  </si>
  <si>
    <t xml:space="preserve">CAP-05</t>
  </si>
  <si>
    <t xml:space="preserve">Recherche d'investissement et analyse ESG</t>
  </si>
  <si>
    <t xml:space="preserve">CAP-06</t>
  </si>
  <si>
    <t xml:space="preserve">Calcul quantique du risque</t>
  </si>
  <si>
    <t xml:space="preserve">baj-quantum, arxiv-quantum, iag-bluequbit</t>
  </si>
  <si>
    <t xml:space="preserve">CAP-07</t>
  </si>
  <si>
    <t xml:space="preserve">Allocation du capital par ligne, produit et segment</t>
  </si>
  <si>
    <t xml:space="preserve">CAP-08</t>
  </si>
  <si>
    <t xml:space="preserve">Risque de liquidité et rachats massifs</t>
  </si>
  <si>
    <t xml:space="preserve">RSK-01</t>
  </si>
  <si>
    <t xml:space="preserve">Inventaire et classification des systèmes d'IA</t>
  </si>
  <si>
    <t xml:space="preserve">eiopa-opinion, eiopa-genai, evident-2026, cbuae-ai, sdaia-framework</t>
  </si>
  <si>
    <t xml:space="preserve">RSK-02</t>
  </si>
  <si>
    <t xml:space="preserve">Veille et analyse d'impact réglementaire</t>
  </si>
  <si>
    <t xml:space="preserve">RSK-03</t>
  </si>
  <si>
    <t xml:space="preserve">Lutte anti-blanchiment et sanctions</t>
  </si>
  <si>
    <t xml:space="preserve">RSK-04</t>
  </si>
  <si>
    <t xml:space="preserve">Contrôle permanent exécuté par agents</t>
  </si>
  <si>
    <t xml:space="preserve">orch</t>
  </si>
  <si>
    <t xml:space="preserve">RSK-05</t>
  </si>
  <si>
    <t xml:space="preserve">Risque de modèle des IA génératives et agentiques</t>
  </si>
  <si>
    <t xml:space="preserve">eiopa-genai, scor-ai</t>
  </si>
  <si>
    <t xml:space="preserve">RSK-06</t>
  </si>
  <si>
    <t xml:space="preserve">Transition vers la cryptographie post-quantique</t>
  </si>
  <si>
    <t xml:space="preserve">code</t>
  </si>
  <si>
    <t xml:space="preserve">nist-pqc, nist-8547</t>
  </si>
  <si>
    <t xml:space="preserve">RSK-07</t>
  </si>
  <si>
    <t xml:space="preserve">Souscrire le risque IA de nos clients</t>
  </si>
  <si>
    <t xml:space="preserve">gr, risk, lr</t>
  </si>
  <si>
    <t xml:space="preserve">SUP-01</t>
  </si>
  <si>
    <t xml:space="preserve">Plateforme d'IA générative sécurisée pour tous</t>
  </si>
  <si>
    <t xml:space="preserve">axa-securegpt, generali-fr, eiopa-genai</t>
  </si>
  <si>
    <t xml:space="preserve">SUP-02</t>
  </si>
  <si>
    <t xml:space="preserve">Modernisation des systèmes historiques</t>
  </si>
  <si>
    <t xml:space="preserve">code, orch</t>
  </si>
  <si>
    <t xml:space="preserve">er, risk, gr</t>
  </si>
  <si>
    <t xml:space="preserve">SUP-03</t>
  </si>
  <si>
    <t xml:space="preserve">Développement logiciel augmenté</t>
  </si>
  <si>
    <t xml:space="preserve">SUP-04</t>
  </si>
  <si>
    <t xml:space="preserve">Recrutement et mobilité interne</t>
  </si>
  <si>
    <t xml:space="preserve">SUP-05</t>
  </si>
  <si>
    <t xml:space="preserve">Rapprochements et clôture comptable</t>
  </si>
  <si>
    <t xml:space="preserve">SUP-06</t>
  </si>
  <si>
    <t xml:space="preserve">Pilotage des prestataires et des achats</t>
  </si>
  <si>
    <t xml:space="preserve">opt, doc</t>
  </si>
  <si>
    <t xml:space="preserve">er, lr</t>
  </si>
  <si>
    <t xml:space="preserve">SUP-07</t>
  </si>
  <si>
    <t xml:space="preserve">Pilotage économique de l'IA</t>
  </si>
  <si>
    <t xml:space="preserve">opt, orch</t>
  </si>
  <si>
    <t xml:space="preserve">accenture-pulse</t>
  </si>
  <si>
    <t xml:space="preserve">STR-08</t>
  </si>
  <si>
    <t xml:space="preserve">Pilotage de la performance produit après lancement</t>
  </si>
  <si>
    <t xml:space="preserve">c360, price, mrm</t>
  </si>
  <si>
    <t xml:space="preserve">STR-09</t>
  </si>
  <si>
    <t xml:space="preserve">Due diligence et analyse de portefeuilles (acquisitions, transferts, run-off)</t>
  </si>
  <si>
    <t xml:space="preserve">doc, sim, price</t>
  </si>
  <si>
    <t xml:space="preserve">STR-10</t>
  </si>
  <si>
    <t xml:space="preserve">Modèle takaful : conception et distribution de l'excédent</t>
  </si>
  <si>
    <t xml:space="preserve">sim, price, doc</t>
  </si>
  <si>
    <t xml:space="preserve">STR-11</t>
  </si>
  <si>
    <t xml:space="preserve">Pilotage des partenariats et des écosystèmes</t>
  </si>
  <si>
    <t xml:space="preserve">c360, ext</t>
  </si>
  <si>
    <t xml:space="preserve">STR-12</t>
  </si>
  <si>
    <t xml:space="preserve">Gouvernance produit et dossiers réglementaires (POG, dépôts tarifaires)</t>
  </si>
  <si>
    <t xml:space="preserve">idd-pog</t>
  </si>
  <si>
    <t xml:space="preserve">PRC-15</t>
  </si>
  <si>
    <t xml:space="preserve">Industrialisation et contrôle des tables tarifaires</t>
  </si>
  <si>
    <t xml:space="preserve">code, mrm, price, data</t>
  </si>
  <si>
    <t xml:space="preserve">er, risk, lr, gr</t>
  </si>
  <si>
    <t xml:space="preserve">PRC-16</t>
  </si>
  <si>
    <t xml:space="preserve">Veille tarifaire et positionnement concurrentiel</t>
  </si>
  <si>
    <t xml:space="preserve">PRC-17</t>
  </si>
  <si>
    <t xml:space="preserve">Modélisation de l'inflation des sinistres</t>
  </si>
  <si>
    <t xml:space="preserve">ext, price, mrm</t>
  </si>
  <si>
    <t xml:space="preserve">PRC-18</t>
  </si>
  <si>
    <t xml:space="preserve">Tarification des grands comptes et des flottes</t>
  </si>
  <si>
    <t xml:space="preserve">doc, price, sim</t>
  </si>
  <si>
    <t xml:space="preserve">PRC-19</t>
  </si>
  <si>
    <t xml:space="preserve">Profit testing et tarification vie automatisés</t>
  </si>
  <si>
    <t xml:space="preserve">sim, price, orch</t>
  </si>
  <si>
    <t xml:space="preserve">PRC-20</t>
  </si>
  <si>
    <t xml:space="preserve">Valeur client et tarification au renouvellement</t>
  </si>
  <si>
    <t xml:space="preserve">c360, price, opt</t>
  </si>
  <si>
    <t xml:space="preserve">DST-11</t>
  </si>
  <si>
    <t xml:space="preserve">Analyse de la parole et coaching des conseillers</t>
  </si>
  <si>
    <t xml:space="preserve">conv, kb</t>
  </si>
  <si>
    <t xml:space="preserve">DST-12</t>
  </si>
  <si>
    <t xml:space="preserve">Pilotage des réseaux et des intermédiaires</t>
  </si>
  <si>
    <t xml:space="preserve">c360, doc</t>
  </si>
  <si>
    <t xml:space="preserve">DST-13</t>
  </si>
  <si>
    <t xml:space="preserve">Vérification d'identité et entrée en relation</t>
  </si>
  <si>
    <t xml:space="preserve">sec, doc</t>
  </si>
  <si>
    <t xml:space="preserve">DST-14</t>
  </si>
  <si>
    <t xml:space="preserve">Optimisation des parcours digitaux et des comparateurs</t>
  </si>
  <si>
    <t xml:space="preserve">c360, opt</t>
  </si>
  <si>
    <t xml:space="preserve">DST-15</t>
  </si>
  <si>
    <t xml:space="preserve">Bancassurance : recommandations intégrées aux parcours bancaires</t>
  </si>
  <si>
    <t xml:space="preserve">UW-11</t>
  </si>
  <si>
    <t xml:space="preserve">Souscription automobile : contrôle du véhicule et du déclaratif</t>
  </si>
  <si>
    <t xml:space="preserve">ext, doc</t>
  </si>
  <si>
    <t xml:space="preserve">UW-12</t>
  </si>
  <si>
    <t xml:space="preserve">Synthèse des rapports de visite de risque</t>
  </si>
  <si>
    <t xml:space="preserve">UW-13</t>
  </si>
  <si>
    <t xml:space="preserve">Pilotage des délégations de souscription</t>
  </si>
  <si>
    <t xml:space="preserve">doc, orch, mrm</t>
  </si>
  <si>
    <t xml:space="preserve">UW-14</t>
  </si>
  <si>
    <t xml:space="preserve">Règles d'appétence codifiées et audit de souscription</t>
  </si>
  <si>
    <t xml:space="preserve">kb, mrm, orch</t>
  </si>
  <si>
    <t xml:space="preserve">UW-15</t>
  </si>
  <si>
    <t xml:space="preserve">Assurance-crédit et caution : scoring et surveillance</t>
  </si>
  <si>
    <t xml:space="preserve">ext, graph</t>
  </si>
  <si>
    <t xml:space="preserve">UW-16</t>
  </si>
  <si>
    <t xml:space="preserve">Souscription instantanée voyage, animaux et affinitaire</t>
  </si>
  <si>
    <t xml:space="preserve">POL-09</t>
  </si>
  <si>
    <t xml:space="preserve">Génération et contrôle des documents contractuels</t>
  </si>
  <si>
    <t xml:space="preserve">POL-10</t>
  </si>
  <si>
    <t xml:space="preserve">Détection et accompagnement des clients vulnérables</t>
  </si>
  <si>
    <t xml:space="preserve">fca-cd</t>
  </si>
  <si>
    <t xml:space="preserve">POL-11</t>
  </si>
  <si>
    <t xml:space="preserve">Authentification et sécurité des parcours clients</t>
  </si>
  <si>
    <t xml:space="preserve">sec, conv</t>
  </si>
  <si>
    <t xml:space="preserve">POL-12</t>
  </si>
  <si>
    <t xml:space="preserve">Migration et reprise de portefeuilles entre systèmes</t>
  </si>
  <si>
    <t xml:space="preserve">code, data, orch</t>
  </si>
  <si>
    <t xml:space="preserve">er, risk</t>
  </si>
  <si>
    <t xml:space="preserve">POL-13</t>
  </si>
  <si>
    <t xml:space="preserve">Gestion des commissions et des flux intermédiaires</t>
  </si>
  <si>
    <t xml:space="preserve">PRV-07</t>
  </si>
  <si>
    <t xml:space="preserve">Assistance et dépannage : orchestration en temps réel</t>
  </si>
  <si>
    <t xml:space="preserve">orch, opt</t>
  </si>
  <si>
    <t xml:space="preserve">PRV-08</t>
  </si>
  <si>
    <t xml:space="preserve">Ingénierie des risques et jumeau de site pour les grands comptes</t>
  </si>
  <si>
    <t xml:space="preserve">geo, cv, sim</t>
  </si>
  <si>
    <t xml:space="preserve">PRV-09</t>
  </si>
  <si>
    <t xml:space="preserve">Orientation dans le parcours de soins</t>
  </si>
  <si>
    <t xml:space="preserve">cx, lr</t>
  </si>
  <si>
    <t xml:space="preserve">PRV-10</t>
  </si>
  <si>
    <t xml:space="preserve">Adaptation climatique du portefeuille et conseil aux assurés</t>
  </si>
  <si>
    <t xml:space="preserve">geo, c360</t>
  </si>
  <si>
    <t xml:space="preserve">CLM-17</t>
  </si>
  <si>
    <t xml:space="preserve">Prédiction de la judiciarisation</t>
  </si>
  <si>
    <t xml:space="preserve">CLM-18</t>
  </si>
  <si>
    <t xml:space="preserve">Contrôle des factures médicales et des actes</t>
  </si>
  <si>
    <t xml:space="preserve">CLM-19</t>
  </si>
  <si>
    <t xml:space="preserve">Accompagnement du retour à l'emploi en arrêt de travail et invalidité</t>
  </si>
  <si>
    <t xml:space="preserve">CLM-20</t>
  </si>
  <si>
    <t xml:space="preserve">Perte totale, valorisation et épaves</t>
  </si>
  <si>
    <t xml:space="preserve">cv, ext, opt</t>
  </si>
  <si>
    <t xml:space="preserve">CLM-21</t>
  </si>
  <si>
    <t xml:space="preserve">Pertes d'exploitation et sinistres entreprises complexes</t>
  </si>
  <si>
    <t xml:space="preserve">doc, kb, sim</t>
  </si>
  <si>
    <t xml:space="preserve">CLM-22</t>
  </si>
  <si>
    <t xml:space="preserve">Règlement instantané voyage, animaux et affinitaire</t>
  </si>
  <si>
    <t xml:space="preserve">allianz-nemo, lemonade</t>
  </si>
  <si>
    <t xml:space="preserve">CLM-23</t>
  </si>
  <si>
    <t xml:space="preserve">Contrôle des gestionnaires délégués et TPA</t>
  </si>
  <si>
    <t xml:space="preserve">CLM-24</t>
  </si>
  <si>
    <t xml:space="preserve">Imagerie aérienne et drones après catastrophe</t>
  </si>
  <si>
    <t xml:space="preserve">CLM-25</t>
  </si>
  <si>
    <t xml:space="preserve">Prévision des flux et dimensionnement des équipes sinistres</t>
  </si>
  <si>
    <t xml:space="preserve">sim, opt</t>
  </si>
  <si>
    <t xml:space="preserve">FRD-07</t>
  </si>
  <si>
    <t xml:space="preserve">Fraude interne et des intermédiaires</t>
  </si>
  <si>
    <t xml:space="preserve">FRD-08</t>
  </si>
  <si>
    <t xml:space="preserve">Dispositifs sectoriels de partage de données anti-fraude</t>
  </si>
  <si>
    <t xml:space="preserve">graph, data</t>
  </si>
  <si>
    <t xml:space="preserve">FRD-09</t>
  </si>
  <si>
    <t xml:space="preserve">Usurpation et identités synthétiques</t>
  </si>
  <si>
    <t xml:space="preserve">sec, graph</t>
  </si>
  <si>
    <t xml:space="preserve">RE-07</t>
  </si>
  <si>
    <t xml:space="preserve">Tarification des traités et facultatives côté réassureur</t>
  </si>
  <si>
    <t xml:space="preserve">price, sim, doc</t>
  </si>
  <si>
    <t xml:space="preserve">RE-08</t>
  </si>
  <si>
    <t xml:space="preserve">Risque de contrepartie et suivi des réassureurs</t>
  </si>
  <si>
    <t xml:space="preserve">RE-09</t>
  </si>
  <si>
    <t xml:space="preserve">Transfert alternatif de risques et solutions paramétriques</t>
  </si>
  <si>
    <t xml:space="preserve">opt, sim, geo</t>
  </si>
  <si>
    <t xml:space="preserve">RE-10</t>
  </si>
  <si>
    <t xml:space="preserve">Réassurance vie : sélection déléguée et portefeuilles cédés</t>
  </si>
  <si>
    <t xml:space="preserve">RES-09</t>
  </si>
  <si>
    <t xml:space="preserve">Provisions techniques Solvabilité II et production des QRT</t>
  </si>
  <si>
    <t xml:space="preserve">RES-10</t>
  </si>
  <si>
    <t xml:space="preserve">Sinistres graves, ENID et événements rares</t>
  </si>
  <si>
    <t xml:space="preserve">RES-11</t>
  </si>
  <si>
    <t xml:space="preserve">Provisions de primes et contrats onéreux</t>
  </si>
  <si>
    <t xml:space="preserve">RES-12</t>
  </si>
  <si>
    <t xml:space="preserve">Capture et transmission du savoir actuariel</t>
  </si>
  <si>
    <t xml:space="preserve">CAP-09</t>
  </si>
  <si>
    <t xml:space="preserve">Pilotage du taux servi et de la participation aux bénéfices</t>
  </si>
  <si>
    <t xml:space="preserve">CAP-10</t>
  </si>
  <si>
    <t xml:space="preserve">Couverture dynamique des garanties</t>
  </si>
  <si>
    <t xml:space="preserve">CAP-11</t>
  </si>
  <si>
    <t xml:space="preserve">Risque de crédit et actifs privés</t>
  </si>
  <si>
    <t xml:space="preserve">doc, ext</t>
  </si>
  <si>
    <t xml:space="preserve">CAP-12</t>
  </si>
  <si>
    <t xml:space="preserve">Investissements conformes à la charia et fonds takaful</t>
  </si>
  <si>
    <t xml:space="preserve">RSK-08</t>
  </si>
  <si>
    <t xml:space="preserve">Résilience opérationnelle numérique et risque tiers (DORA)</t>
  </si>
  <si>
    <t xml:space="preserve">dora</t>
  </si>
  <si>
    <t xml:space="preserve">RSK-09</t>
  </si>
  <si>
    <t xml:space="preserve">Protection des données et droits des personnes</t>
  </si>
  <si>
    <t xml:space="preserve">doc, sec, data</t>
  </si>
  <si>
    <t xml:space="preserve">gdpr</t>
  </si>
  <si>
    <t xml:space="preserve">RSK-10</t>
  </si>
  <si>
    <t xml:space="preserve">Audit interne augmenté</t>
  </si>
  <si>
    <t xml:space="preserve">kb, orch</t>
  </si>
  <si>
    <t xml:space="preserve">RSK-11</t>
  </si>
  <si>
    <t xml:space="preserve">Reporting de durabilité et risque climatique</t>
  </si>
  <si>
    <t xml:space="preserve">doc, geo</t>
  </si>
  <si>
    <t xml:space="preserve">RSK-12</t>
  </si>
  <si>
    <t xml:space="preserve">Risque opérationnel et analyse des incidents</t>
  </si>
  <si>
    <t xml:space="preserve">RSK-13</t>
  </si>
  <si>
    <t xml:space="preserve">Données synthétiques et environnements de test</t>
  </si>
  <si>
    <t xml:space="preserve">data, mrm</t>
  </si>
  <si>
    <t xml:space="preserve">soa-synth</t>
  </si>
  <si>
    <t xml:space="preserve">SUP-08</t>
  </si>
  <si>
    <t xml:space="preserve">Planification financière et prévision des frais</t>
  </si>
  <si>
    <t xml:space="preserve">sim, kb</t>
  </si>
  <si>
    <t xml:space="preserve">SUP-09</t>
  </si>
  <si>
    <t xml:space="preserve">Opérations de cybersécurité augmentées</t>
  </si>
  <si>
    <t xml:space="preserve">sec</t>
  </si>
  <si>
    <t xml:space="preserve">SUP-10</t>
  </si>
  <si>
    <t xml:space="preserve">Qualité, référentiels et catalogue de données</t>
  </si>
  <si>
    <t xml:space="preserve">data, orch</t>
  </si>
  <si>
    <t xml:space="preserve">SUP-11</t>
  </si>
  <si>
    <t xml:space="preserve">Formation continue et transfert de compétences</t>
  </si>
  <si>
    <t xml:space="preserve">kb, conv</t>
  </si>
  <si>
    <t xml:space="preserve">cx</t>
  </si>
  <si>
    <t xml:space="preserve">SUP-12</t>
  </si>
  <si>
    <t xml:space="preserve">Revue des contrats fournisseurs et partenaires</t>
  </si>
  <si>
    <t xml:space="preserve">SUP-13</t>
  </si>
  <si>
    <t xml:space="preserve">Exploitation IT et observabilité</t>
  </si>
  <si>
    <t xml:space="preserve">SUP-14</t>
  </si>
  <si>
    <t xml:space="preserve">Reporting de gestion et narration pour le comité de direction</t>
  </si>
  <si>
    <t xml:space="preserve">STR-13</t>
  </si>
  <si>
    <t xml:space="preserve">Veille des partenaires et des insurtechs</t>
  </si>
  <si>
    <t xml:space="preserve">kb, ext</t>
  </si>
  <si>
    <t xml:space="preserve">PRC-21</t>
  </si>
  <si>
    <t xml:space="preserve">Tarification des contrats collectifs par expérience du groupe</t>
  </si>
  <si>
    <t xml:space="preserve">doc, price</t>
  </si>
  <si>
    <t xml:space="preserve">DST-16</t>
  </si>
  <si>
    <t xml:space="preserve">Conseil en épargne et allocation personnalisée</t>
  </si>
  <si>
    <t xml:space="preserve">kb, c360</t>
  </si>
  <si>
    <t xml:space="preserve">DST-17</t>
  </si>
  <si>
    <t xml:space="preserve">Scoring des prospects et priorisation commerciale</t>
  </si>
  <si>
    <t xml:space="preserve">UW-17</t>
  </si>
  <si>
    <t xml:space="preserve">Souscription construction : analyse des projets</t>
  </si>
  <si>
    <t xml:space="preserve">UW-18</t>
  </si>
  <si>
    <t xml:space="preserve">Souscription marine et transport par données de navigation</t>
  </si>
  <si>
    <t xml:space="preserve">UW-19</t>
  </si>
  <si>
    <t xml:space="preserve">Surveillance du risque après souscription</t>
  </si>
  <si>
    <t xml:space="preserve">ext, geo, orch</t>
  </si>
  <si>
    <t xml:space="preserve">POL-14</t>
  </si>
  <si>
    <t xml:space="preserve">Tiers payant, réseaux de soins et devis santé</t>
  </si>
  <si>
    <t xml:space="preserve">POL-15</t>
  </si>
  <si>
    <t xml:space="preserve">Assistance en temps réel au conseiller du centre de contact</t>
  </si>
  <si>
    <t xml:space="preserve">POL-16</t>
  </si>
  <si>
    <t xml:space="preserve">Service multilingue et traduction en temps réel</t>
  </si>
  <si>
    <t xml:space="preserve">conv, doc</t>
  </si>
  <si>
    <t xml:space="preserve">POL-17</t>
  </si>
  <si>
    <t xml:space="preserve">Assistant épargne-retraite du client</t>
  </si>
  <si>
    <t xml:space="preserve">conv, kb, c360</t>
  </si>
  <si>
    <t xml:space="preserve">cx, gr</t>
  </si>
  <si>
    <t xml:space="preserve">PRV-11</t>
  </si>
  <si>
    <t xml:space="preserve">Surveillance des cultures et déclenchement paramétrique</t>
  </si>
  <si>
    <t xml:space="preserve">geo, ext</t>
  </si>
  <si>
    <t xml:space="preserve">PRV-12</t>
  </si>
  <si>
    <t xml:space="preserve">Maintien à domicile et services de dépendance</t>
  </si>
  <si>
    <t xml:space="preserve">conv, ext</t>
  </si>
  <si>
    <t xml:space="preserve">CLM-26</t>
  </si>
  <si>
    <t xml:space="preserve">Réponse à incident cyber</t>
  </si>
  <si>
    <t xml:space="preserve">orch, sec</t>
  </si>
  <si>
    <t xml:space="preserve">CLM-27</t>
  </si>
  <si>
    <t xml:space="preserve">Protection juridique : qualification et orientation des litiges</t>
  </si>
  <si>
    <t xml:space="preserve">CLM-28</t>
  </si>
  <si>
    <t xml:space="preserve">Conventions inter-assureurs et flux de recours</t>
  </si>
  <si>
    <t xml:space="preserve">FRD-10</t>
  </si>
  <si>
    <t xml:space="preserve">Fausses déclarations à la souscription vie et prévoyance</t>
  </si>
  <si>
    <t xml:space="preserve">FRD-11</t>
  </si>
  <si>
    <t xml:space="preserve">Deepfakes et contenus synthétiques dans la relation client</t>
  </si>
  <si>
    <t xml:space="preserve">RES-13</t>
  </si>
  <si>
    <t xml:space="preserve">Provisionnement stochastique et quantification de l'incertitude</t>
  </si>
  <si>
    <t xml:space="preserve">RES-14</t>
  </si>
  <si>
    <t xml:space="preserve">Fixation et documentation des hypothèses vie</t>
  </si>
  <si>
    <t xml:space="preserve">kb, doc, mrm</t>
  </si>
  <si>
    <t xml:space="preserve">CAP-13</t>
  </si>
  <si>
    <t xml:space="preserve">Transparisation et qualité des données actifs</t>
  </si>
  <si>
    <t xml:space="preserve">data, doc, orch</t>
  </si>
  <si>
    <t xml:space="preserve">CAP-14</t>
  </si>
  <si>
    <t xml:space="preserve">Risque climatique physique et de transition sur le bilan</t>
  </si>
  <si>
    <t xml:space="preserve">SUP-15</t>
  </si>
  <si>
    <t xml:space="preserve">Tests automatisés et assurance qualité logicielle</t>
  </si>
  <si>
    <t xml:space="preserve">SUP-16</t>
  </si>
  <si>
    <t xml:space="preserve">Gestion documentaire et archivage intelligent</t>
  </si>
  <si>
    <t xml:space="preserve">doc, data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</si>
</sst>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0"/>
    <numFmt numFmtId="168" formatCode="#,##0.0"/>
    <numFmt numFmtId="169" formatCode="0%"/>
    <numFmt numFmtId="170" formatCode="0.00%"/>
    <numFmt numFmtId="171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6007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7500C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DC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6DC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500C0"/>
      <rgbColor rgb="FF008080"/>
      <rgbColor rgb="FFBFBFBF"/>
      <rgbColor rgb="FF808080"/>
      <rgbColor rgb="FF9999FF"/>
      <rgbColor rgb="FF993366"/>
      <rgbColor rgb="FFFFFFCC"/>
      <rgbColor rgb="FFCCFFFF"/>
      <rgbColor rgb="FF460073"/>
      <rgbColor rgb="FFFF8080"/>
      <rgbColor rgb="FF0066CC"/>
      <rgbColor rgb="FFE6D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35.0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</row>
    <row r="4" customFormat="false" ht="15" hidden="false" customHeight="false" outlineLevel="0" collapsed="false">
      <c r="A4" s="6" t="s">
        <v>19</v>
      </c>
    </row>
    <row r="5" customFormat="false" ht="15" hidden="false" customHeight="false" outlineLevel="0" collapsed="false">
      <c r="A5" s="7" t="s">
        <v>20</v>
      </c>
      <c r="B5" s="8" t="n">
        <v>1200</v>
      </c>
      <c r="C5" s="5" t="s">
        <v>21</v>
      </c>
    </row>
    <row r="6" customFormat="false" ht="15" hidden="false" customHeight="false" outlineLevel="0" collapsed="false">
      <c r="A6" s="7" t="s">
        <v>22</v>
      </c>
      <c r="B6" s="8" t="n">
        <v>800</v>
      </c>
      <c r="C6" s="5" t="s">
        <v>21</v>
      </c>
    </row>
    <row r="7" customFormat="false" ht="15" hidden="false" customHeight="false" outlineLevel="0" collapsed="false">
      <c r="A7" s="7" t="s">
        <v>23</v>
      </c>
      <c r="B7" s="8" t="n">
        <v>600</v>
      </c>
      <c r="C7" s="5" t="s">
        <v>21</v>
      </c>
    </row>
    <row r="8" customFormat="false" ht="15" hidden="false" customHeight="false" outlineLevel="0" collapsed="false">
      <c r="A8" s="7" t="s">
        <v>24</v>
      </c>
      <c r="B8" s="8" t="n">
        <v>400</v>
      </c>
      <c r="C8" s="5" t="s">
        <v>21</v>
      </c>
    </row>
    <row r="9" customFormat="false" ht="15" hidden="false" customHeight="false" outlineLevel="0" collapsed="false">
      <c r="A9" s="7" t="s">
        <v>25</v>
      </c>
      <c r="B9" s="8" t="n">
        <v>1500</v>
      </c>
      <c r="C9" s="5" t="s">
        <v>21</v>
      </c>
    </row>
    <row r="10" customFormat="false" ht="15" hidden="false" customHeight="false" outlineLevel="0" collapsed="false">
      <c r="A10" s="7" t="s">
        <v>26</v>
      </c>
      <c r="B10" s="8" t="n">
        <v>500</v>
      </c>
      <c r="C10" s="5" t="s">
        <v>21</v>
      </c>
    </row>
    <row r="12" customFormat="false" ht="15" hidden="false" customHeight="false" outlineLevel="0" collapsed="false">
      <c r="A12" s="6" t="s">
        <v>27</v>
      </c>
    </row>
    <row r="13" customFormat="false" ht="15" hidden="false" customHeight="false" outlineLevel="0" collapsed="false">
      <c r="A13" s="7" t="s">
        <v>28</v>
      </c>
      <c r="B13" s="9" t="n">
        <v>0.72</v>
      </c>
      <c r="C13" s="5" t="s">
        <v>21</v>
      </c>
    </row>
    <row r="14" customFormat="false" ht="15" hidden="false" customHeight="false" outlineLevel="0" collapsed="false">
      <c r="A14" s="7" t="s">
        <v>29</v>
      </c>
      <c r="B14" s="9" t="n">
        <v>0.66</v>
      </c>
      <c r="C14" s="5" t="s">
        <v>21</v>
      </c>
    </row>
    <row r="15" customFormat="false" ht="15" hidden="false" customHeight="false" outlineLevel="0" collapsed="false">
      <c r="A15" s="7" t="s">
        <v>30</v>
      </c>
      <c r="B15" s="9" t="n">
        <v>0.83</v>
      </c>
      <c r="C15" s="5" t="s">
        <v>21</v>
      </c>
    </row>
    <row r="16" customFormat="false" ht="15" hidden="false" customHeight="false" outlineLevel="0" collapsed="false">
      <c r="A16" s="7" t="s">
        <v>31</v>
      </c>
      <c r="B16" s="9" t="n">
        <v>0.62</v>
      </c>
      <c r="C16" s="5" t="s">
        <v>21</v>
      </c>
    </row>
    <row r="17" customFormat="false" ht="15" hidden="false" customHeight="false" outlineLevel="0" collapsed="false">
      <c r="A17" s="7" t="s">
        <v>32</v>
      </c>
      <c r="B17" s="9" t="n">
        <v>0.63</v>
      </c>
      <c r="C17" s="5" t="s">
        <v>21</v>
      </c>
    </row>
    <row r="19" customFormat="false" ht="15" hidden="false" customHeight="false" outlineLevel="0" collapsed="false">
      <c r="A19" s="6" t="s">
        <v>33</v>
      </c>
    </row>
    <row r="20" customFormat="false" ht="15" hidden="false" customHeight="false" outlineLevel="0" collapsed="false">
      <c r="A20" s="7" t="s">
        <v>34</v>
      </c>
      <c r="B20" s="8" t="n">
        <v>1500</v>
      </c>
      <c r="C20" s="5" t="s">
        <v>35</v>
      </c>
    </row>
    <row r="21" customFormat="false" ht="15" hidden="false" customHeight="false" outlineLevel="0" collapsed="false">
      <c r="A21" s="7" t="s">
        <v>36</v>
      </c>
      <c r="B21" s="8" t="n">
        <v>1100</v>
      </c>
      <c r="C21" s="5" t="s">
        <v>35</v>
      </c>
    </row>
    <row r="22" customFormat="false" ht="15" hidden="false" customHeight="false" outlineLevel="0" collapsed="false">
      <c r="A22" s="7" t="s">
        <v>37</v>
      </c>
      <c r="B22" s="8" t="n">
        <v>800</v>
      </c>
      <c r="C22" s="5" t="s">
        <v>35</v>
      </c>
    </row>
    <row r="23" customFormat="false" ht="15" hidden="false" customHeight="false" outlineLevel="0" collapsed="false">
      <c r="A23" s="7" t="s">
        <v>38</v>
      </c>
      <c r="B23" s="8" t="n">
        <v>700</v>
      </c>
      <c r="C23" s="5" t="s">
        <v>35</v>
      </c>
    </row>
    <row r="24" customFormat="false" ht="15" hidden="false" customHeight="false" outlineLevel="0" collapsed="false">
      <c r="A24" s="7" t="s">
        <v>39</v>
      </c>
      <c r="B24" s="8" t="n">
        <v>450</v>
      </c>
      <c r="C24" s="5" t="s">
        <v>35</v>
      </c>
    </row>
    <row r="25" customFormat="false" ht="15" hidden="false" customHeight="false" outlineLevel="0" collapsed="false">
      <c r="A25" s="7" t="s">
        <v>40</v>
      </c>
      <c r="B25" s="8" t="n">
        <v>850</v>
      </c>
      <c r="C25" s="5" t="s">
        <v>35</v>
      </c>
    </row>
    <row r="26" customFormat="false" ht="15" hidden="false" customHeight="false" outlineLevel="0" collapsed="false">
      <c r="A26" s="7" t="s">
        <v>41</v>
      </c>
      <c r="B26" s="8" t="n">
        <v>600</v>
      </c>
      <c r="C26" s="5" t="s">
        <v>35</v>
      </c>
    </row>
    <row r="27" customFormat="false" ht="15" hidden="false" customHeight="false" outlineLevel="0" collapsed="false">
      <c r="A27" s="7" t="s">
        <v>42</v>
      </c>
      <c r="B27" s="10" t="n">
        <v>0.085</v>
      </c>
      <c r="C27" s="5" t="s">
        <v>43</v>
      </c>
    </row>
    <row r="28" customFormat="false" ht="15" hidden="false" customHeight="false" outlineLevel="0" collapsed="false">
      <c r="A28" s="7" t="s">
        <v>44</v>
      </c>
      <c r="B28" s="8" t="n">
        <v>620</v>
      </c>
      <c r="C28" s="5" t="s">
        <v>45</v>
      </c>
    </row>
    <row r="29" customFormat="false" ht="15" hidden="false" customHeight="false" outlineLevel="0" collapsed="false">
      <c r="A29" s="7" t="s">
        <v>46</v>
      </c>
      <c r="B29" s="9" t="n">
        <v>0.11</v>
      </c>
      <c r="C29" s="5"/>
    </row>
    <row r="31" customFormat="false" ht="15" hidden="false" customHeight="false" outlineLevel="0" collapsed="false">
      <c r="A31" s="6" t="s">
        <v>47</v>
      </c>
    </row>
    <row r="32" customFormat="false" ht="15" hidden="false" customHeight="false" outlineLevel="0" collapsed="false">
      <c r="A32" s="7" t="s">
        <v>48</v>
      </c>
      <c r="B32" s="11" t="n">
        <v>20</v>
      </c>
      <c r="C32" s="5" t="s">
        <v>49</v>
      </c>
    </row>
    <row r="33" customFormat="false" ht="15" hidden="false" customHeight="false" outlineLevel="0" collapsed="false">
      <c r="A33" s="7" t="s">
        <v>50</v>
      </c>
      <c r="B33" s="8" t="n">
        <v>1800</v>
      </c>
      <c r="C33" s="5"/>
    </row>
    <row r="34" customFormat="false" ht="15" hidden="false" customHeight="false" outlineLevel="0" collapsed="false">
      <c r="A34" s="7" t="s">
        <v>51</v>
      </c>
      <c r="B34" s="9" t="n">
        <v>0.06</v>
      </c>
      <c r="C34" s="5" t="s">
        <v>52</v>
      </c>
    </row>
    <row r="35" customFormat="false" ht="15" hidden="false" customHeight="false" outlineLevel="0" collapsed="false">
      <c r="A35" s="7" t="s">
        <v>53</v>
      </c>
      <c r="B35" s="9" t="n">
        <v>0.87</v>
      </c>
      <c r="C35" s="5" t="s">
        <v>54</v>
      </c>
    </row>
    <row r="36" customFormat="false" ht="15" hidden="false" customHeight="false" outlineLevel="0" collapsed="false">
      <c r="A36" s="7" t="s">
        <v>55</v>
      </c>
      <c r="B36" s="9" t="n">
        <v>0.15</v>
      </c>
      <c r="C36" s="5" t="s">
        <v>56</v>
      </c>
    </row>
    <row r="37" customFormat="false" ht="15" hidden="false" customHeight="false" outlineLevel="0" collapsed="false">
      <c r="A37" s="7" t="s">
        <v>57</v>
      </c>
      <c r="B37" s="9" t="n">
        <v>0.6</v>
      </c>
      <c r="C37" s="5"/>
    </row>
    <row r="39" customFormat="false" ht="15" hidden="false" customHeight="false" outlineLevel="0" collapsed="false">
      <c r="A39" s="6" t="s">
        <v>58</v>
      </c>
    </row>
    <row r="40" customFormat="false" ht="15" hidden="false" customHeight="false" outlineLevel="0" collapsed="false">
      <c r="A40" s="7" t="s">
        <v>59</v>
      </c>
      <c r="B40" s="9" t="n">
        <v>0.08</v>
      </c>
      <c r="C40" s="5" t="s">
        <v>60</v>
      </c>
    </row>
    <row r="41" customFormat="false" ht="15" hidden="false" customHeight="false" outlineLevel="0" collapsed="false">
      <c r="A41" s="7" t="s">
        <v>61</v>
      </c>
      <c r="B41" s="9" t="n">
        <v>0.1</v>
      </c>
      <c r="C41" s="5" t="s">
        <v>60</v>
      </c>
    </row>
    <row r="42" customFormat="false" ht="15" hidden="false" customHeight="false" outlineLevel="0" collapsed="false">
      <c r="A42" s="7" t="s">
        <v>62</v>
      </c>
      <c r="B42" s="9" t="n">
        <v>0.03</v>
      </c>
      <c r="C42" s="5" t="s">
        <v>60</v>
      </c>
    </row>
    <row r="44" customFormat="false" ht="15" hidden="false" customHeight="false" outlineLevel="0" collapsed="false">
      <c r="A44" s="6" t="s">
        <v>63</v>
      </c>
    </row>
    <row r="45" customFormat="false" ht="15" hidden="false" customHeight="false" outlineLevel="0" collapsed="false">
      <c r="A45" s="7" t="s">
        <v>64</v>
      </c>
      <c r="B45" s="12" t="n">
        <v>0.4</v>
      </c>
      <c r="C45" s="5" t="s">
        <v>65</v>
      </c>
    </row>
    <row r="46" customFormat="false" ht="15" hidden="false" customHeight="false" outlineLevel="0" collapsed="false">
      <c r="A46" s="7" t="s">
        <v>66</v>
      </c>
      <c r="B46" s="12" t="n">
        <v>0.25</v>
      </c>
      <c r="C46" s="5" t="s">
        <v>65</v>
      </c>
    </row>
    <row r="47" customFormat="false" ht="15" hidden="false" customHeight="false" outlineLevel="0" collapsed="false">
      <c r="A47" s="7" t="s">
        <v>67</v>
      </c>
      <c r="B47" s="12" t="n">
        <v>0.2</v>
      </c>
      <c r="C47" s="5" t="s">
        <v>65</v>
      </c>
    </row>
    <row r="48" customFormat="false" ht="15" hidden="false" customHeight="false" outlineLevel="0" collapsed="false">
      <c r="A48" s="7" t="s">
        <v>68</v>
      </c>
      <c r="B48" s="12" t="n">
        <v>0.08</v>
      </c>
      <c r="C48" s="5" t="s">
        <v>65</v>
      </c>
    </row>
    <row r="49" customFormat="false" ht="15" hidden="false" customHeight="false" outlineLevel="0" collapsed="false">
      <c r="A49" s="7" t="s">
        <v>69</v>
      </c>
      <c r="B49" s="12" t="n">
        <v>0.07</v>
      </c>
      <c r="C49" s="5" t="s">
        <v>65</v>
      </c>
    </row>
    <row r="51" customFormat="false" ht="15" hidden="false" customHeight="false" outlineLevel="0" collapsed="false">
      <c r="A51" s="6" t="s">
        <v>70</v>
      </c>
    </row>
    <row r="52" customFormat="false" ht="15" hidden="false" customHeight="false" outlineLevel="0" collapsed="false">
      <c r="A52" s="7" t="s">
        <v>71</v>
      </c>
      <c r="B52" s="12" t="n">
        <v>0.15</v>
      </c>
      <c r="C52" s="12" t="n">
        <v>0.45</v>
      </c>
      <c r="D52" s="12" t="n">
        <v>0.75</v>
      </c>
      <c r="E52" s="12" t="n">
        <v>0.95</v>
      </c>
      <c r="F52" s="5" t="s">
        <v>72</v>
      </c>
    </row>
    <row r="53" customFormat="false" ht="15" hidden="false" customHeight="false" outlineLevel="0" collapsed="false">
      <c r="A53" s="7" t="s">
        <v>73</v>
      </c>
      <c r="B53" s="12" t="n">
        <v>0.05</v>
      </c>
      <c r="C53" s="12" t="n">
        <v>0.25</v>
      </c>
      <c r="D53" s="12" t="n">
        <v>0.55</v>
      </c>
      <c r="E53" s="12" t="n">
        <v>0.85</v>
      </c>
      <c r="F53" s="5" t="s">
        <v>74</v>
      </c>
    </row>
    <row r="54" customFormat="false" ht="15" hidden="false" customHeight="false" outlineLevel="0" collapsed="false">
      <c r="A54" s="7" t="s">
        <v>75</v>
      </c>
      <c r="B54" s="12" t="n">
        <v>0.1</v>
      </c>
      <c r="C54" s="12" t="n">
        <v>0.35</v>
      </c>
      <c r="D54" s="12" t="n">
        <v>0.65</v>
      </c>
      <c r="E54" s="12" t="n">
        <v>0.9</v>
      </c>
      <c r="F54" s="5" t="s">
        <v>76</v>
      </c>
    </row>
    <row r="55" customFormat="false" ht="15" hidden="false" customHeight="false" outlineLevel="0" collapsed="false">
      <c r="A55" s="7" t="s">
        <v>77</v>
      </c>
      <c r="B55" s="12" t="n">
        <v>0</v>
      </c>
      <c r="C55" s="12" t="n">
        <v>0.2</v>
      </c>
      <c r="D55" s="12" t="n">
        <v>0.5</v>
      </c>
      <c r="E55" s="12" t="n">
        <v>0.8</v>
      </c>
      <c r="F55" s="5" t="s">
        <v>78</v>
      </c>
    </row>
    <row r="57" customFormat="false" ht="15" hidden="false" customHeight="false" outlineLevel="0" collapsed="false">
      <c r="A57" s="6" t="s">
        <v>79</v>
      </c>
    </row>
    <row r="58" customFormat="false" ht="15" hidden="false" customHeight="false" outlineLevel="0" collapsed="false">
      <c r="A58" s="7" t="s">
        <v>80</v>
      </c>
      <c r="B58" s="11" t="n">
        <v>10</v>
      </c>
      <c r="C58" s="11" t="n">
        <v>10</v>
      </c>
      <c r="D58" s="11" t="n">
        <v>9</v>
      </c>
      <c r="E58" s="11" t="n">
        <v>9</v>
      </c>
    </row>
    <row r="59" customFormat="false" ht="15" hidden="false" customHeight="false" outlineLevel="0" collapsed="false">
      <c r="A59" s="7" t="s">
        <v>81</v>
      </c>
      <c r="B59" s="11" t="n">
        <v>6</v>
      </c>
      <c r="C59" s="11" t="n">
        <v>6</v>
      </c>
      <c r="D59" s="11" t="n">
        <v>6</v>
      </c>
      <c r="E59" s="11" t="n">
        <v>3</v>
      </c>
    </row>
    <row r="60" customFormat="false" ht="15" hidden="false" customHeight="false" outlineLevel="0" collapsed="false">
      <c r="A60" s="7" t="s">
        <v>82</v>
      </c>
      <c r="B60" s="11" t="n">
        <v>4</v>
      </c>
      <c r="C60" s="11" t="n">
        <v>4</v>
      </c>
      <c r="D60" s="11" t="n">
        <v>3</v>
      </c>
      <c r="E60" s="11" t="n">
        <v>3</v>
      </c>
    </row>
    <row r="61" customFormat="false" ht="15" hidden="false" customHeight="false" outlineLevel="0" collapsed="false">
      <c r="A61" s="7" t="s">
        <v>83</v>
      </c>
      <c r="B61" s="11" t="n">
        <v>3</v>
      </c>
      <c r="C61" s="11" t="n">
        <v>3</v>
      </c>
      <c r="D61" s="11" t="n">
        <v>2</v>
      </c>
      <c r="E61" s="11" t="n">
        <v>2</v>
      </c>
    </row>
    <row r="62" customFormat="false" ht="15" hidden="false" customHeight="false" outlineLevel="0" collapsed="false">
      <c r="A62" s="7" t="s">
        <v>84</v>
      </c>
      <c r="B62" s="11" t="n">
        <v>2</v>
      </c>
      <c r="C62" s="11" t="n">
        <v>2</v>
      </c>
      <c r="D62" s="11" t="n">
        <v>2</v>
      </c>
      <c r="E62" s="11" t="n">
        <v>2</v>
      </c>
    </row>
    <row r="63" customFormat="false" ht="15" hidden="false" customHeight="false" outlineLevel="0" collapsed="false">
      <c r="A63" s="7" t="s">
        <v>85</v>
      </c>
      <c r="B63" s="12" t="n">
        <v>0.1</v>
      </c>
      <c r="C6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12" min="8" style="0" width="12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7" min="16" style="0" width="15"/>
  </cols>
  <sheetData>
    <row r="1" customFormat="false" ht="23.85" hidden="false" customHeight="false" outlineLevel="0" collapsed="false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93</v>
      </c>
      <c r="I1" s="13" t="s">
        <v>94</v>
      </c>
      <c r="J1" s="13" t="s">
        <v>95</v>
      </c>
      <c r="K1" s="13" t="s">
        <v>96</v>
      </c>
      <c r="L1" s="13" t="s">
        <v>97</v>
      </c>
      <c r="M1" s="13" t="s">
        <v>98</v>
      </c>
      <c r="N1" s="13" t="s">
        <v>99</v>
      </c>
      <c r="O1" s="13" t="s">
        <v>100</v>
      </c>
      <c r="P1" s="13" t="s">
        <v>101</v>
      </c>
      <c r="Q1" s="13" t="s">
        <v>102</v>
      </c>
    </row>
    <row r="2" customFormat="false" ht="15" hidden="false" customHeight="false" outlineLevel="0" collapsed="false">
      <c r="A2" s="14" t="s">
        <v>103</v>
      </c>
      <c r="B2" s="15" t="s">
        <v>104</v>
      </c>
      <c r="C2" s="15" t="s">
        <v>105</v>
      </c>
      <c r="D2" s="15" t="s">
        <v>106</v>
      </c>
      <c r="E2" s="15" t="s">
        <v>107</v>
      </c>
      <c r="F2" s="16" t="s">
        <v>108</v>
      </c>
      <c r="G2" s="17" t="n">
        <f aca="false">Hypothèses!$B$20*Hypothèses!$B$27</f>
        <v>127.5</v>
      </c>
      <c r="H2" s="12" t="n">
        <v>1</v>
      </c>
      <c r="I2" s="9" t="n">
        <v>0.12</v>
      </c>
      <c r="J2" s="9" t="n">
        <v>0.25</v>
      </c>
      <c r="K2" s="9" t="n">
        <v>1</v>
      </c>
      <c r="L2" s="18" t="s">
        <v>72</v>
      </c>
      <c r="M2" s="19" t="n">
        <f aca="false">G2*H2*I2</f>
        <v>15.3</v>
      </c>
      <c r="N2" s="19" t="n">
        <f aca="false">G2*H2*J2</f>
        <v>31.875</v>
      </c>
      <c r="O2" s="15" t="s">
        <v>109</v>
      </c>
      <c r="P2" s="19" t="n">
        <f aca="false">M2*K2</f>
        <v>15.3</v>
      </c>
      <c r="Q2" s="19" t="n">
        <f aca="false">N2*K2</f>
        <v>31.875</v>
      </c>
    </row>
    <row r="3" customFormat="false" ht="15" hidden="false" customHeight="false" outlineLevel="0" collapsed="false">
      <c r="A3" s="14" t="s">
        <v>110</v>
      </c>
      <c r="B3" s="15" t="s">
        <v>104</v>
      </c>
      <c r="C3" s="15" t="s">
        <v>111</v>
      </c>
      <c r="D3" s="15" t="s">
        <v>112</v>
      </c>
      <c r="E3" s="15" t="s">
        <v>107</v>
      </c>
      <c r="F3" s="16" t="s">
        <v>113</v>
      </c>
      <c r="G3" s="17" t="n">
        <f aca="false">Hypothèses!$B$21*Hypothèses!$B$27</f>
        <v>93.5</v>
      </c>
      <c r="H3" s="12" t="n">
        <v>1</v>
      </c>
      <c r="I3" s="9" t="n">
        <v>0.1</v>
      </c>
      <c r="J3" s="9" t="n">
        <v>0.22</v>
      </c>
      <c r="K3" s="9" t="n">
        <v>1</v>
      </c>
      <c r="L3" s="18" t="s">
        <v>72</v>
      </c>
      <c r="M3" s="19" t="n">
        <f aca="false">G3*H3*I3</f>
        <v>9.35</v>
      </c>
      <c r="N3" s="19" t="n">
        <f aca="false">G3*H3*J3</f>
        <v>20.57</v>
      </c>
      <c r="O3" s="15" t="s">
        <v>109</v>
      </c>
      <c r="P3" s="19" t="n">
        <f aca="false">M3*K3</f>
        <v>9.35</v>
      </c>
      <c r="Q3" s="19" t="n">
        <f aca="false">N3*K3</f>
        <v>20.57</v>
      </c>
    </row>
    <row r="4" customFormat="false" ht="15" hidden="false" customHeight="false" outlineLevel="0" collapsed="false">
      <c r="A4" s="14" t="s">
        <v>114</v>
      </c>
      <c r="B4" s="15" t="s">
        <v>104</v>
      </c>
      <c r="C4" s="15" t="s">
        <v>115</v>
      </c>
      <c r="D4" s="15" t="s">
        <v>116</v>
      </c>
      <c r="E4" s="15" t="s">
        <v>107</v>
      </c>
      <c r="F4" s="16" t="s">
        <v>117</v>
      </c>
      <c r="G4" s="17" t="n">
        <f aca="false">Hypothèses!$B$23*Hypothèses!$B$27</f>
        <v>59.5</v>
      </c>
      <c r="H4" s="20" t="n">
        <f aca="false">Hypothèses!$B$37</f>
        <v>0.6</v>
      </c>
      <c r="I4" s="9" t="n">
        <v>0.24</v>
      </c>
      <c r="J4" s="9" t="n">
        <v>0.4</v>
      </c>
      <c r="K4" s="9" t="n">
        <v>1</v>
      </c>
      <c r="L4" s="18" t="s">
        <v>72</v>
      </c>
      <c r="M4" s="19" t="n">
        <f aca="false">G4*H4*I4</f>
        <v>8.568</v>
      </c>
      <c r="N4" s="19" t="n">
        <f aca="false">G4*H4*J4</f>
        <v>14.28</v>
      </c>
      <c r="O4" s="15" t="s">
        <v>109</v>
      </c>
      <c r="P4" s="19" t="n">
        <f aca="false">M4*K4</f>
        <v>8.568</v>
      </c>
      <c r="Q4" s="19" t="n">
        <f aca="false">N4*K4</f>
        <v>14.28</v>
      </c>
    </row>
    <row r="5" customFormat="false" ht="15" hidden="false" customHeight="false" outlineLevel="0" collapsed="false">
      <c r="A5" s="14" t="s">
        <v>118</v>
      </c>
      <c r="B5" s="15" t="s">
        <v>104</v>
      </c>
      <c r="C5" s="15" t="s">
        <v>119</v>
      </c>
      <c r="D5" s="15" t="s">
        <v>120</v>
      </c>
      <c r="E5" s="15" t="s">
        <v>107</v>
      </c>
      <c r="F5" s="16" t="s">
        <v>121</v>
      </c>
      <c r="G5" s="17" t="n">
        <f aca="false">Hypothèses!$B$22*Hypothèses!$B$27</f>
        <v>68</v>
      </c>
      <c r="H5" s="12" t="n">
        <v>1</v>
      </c>
      <c r="I5" s="9" t="n">
        <v>0.05</v>
      </c>
      <c r="J5" s="9" t="n">
        <v>0.12</v>
      </c>
      <c r="K5" s="9" t="n">
        <v>1</v>
      </c>
      <c r="L5" s="18" t="s">
        <v>72</v>
      </c>
      <c r="M5" s="19" t="n">
        <f aca="false">G5*H5*I5</f>
        <v>3.4</v>
      </c>
      <c r="N5" s="19" t="n">
        <f aca="false">G5*H5*J5</f>
        <v>8.16</v>
      </c>
      <c r="O5" s="15" t="s">
        <v>109</v>
      </c>
      <c r="P5" s="19" t="n">
        <f aca="false">M5*K5</f>
        <v>3.4</v>
      </c>
      <c r="Q5" s="19" t="n">
        <f aca="false">N5*K5</f>
        <v>8.16</v>
      </c>
    </row>
    <row r="6" customFormat="false" ht="15" hidden="false" customHeight="false" outlineLevel="0" collapsed="false">
      <c r="A6" s="14" t="s">
        <v>122</v>
      </c>
      <c r="B6" s="15" t="s">
        <v>104</v>
      </c>
      <c r="C6" s="15" t="s">
        <v>123</v>
      </c>
      <c r="D6" s="15" t="s">
        <v>124</v>
      </c>
      <c r="E6" s="15" t="s">
        <v>107</v>
      </c>
      <c r="F6" s="16" t="s">
        <v>125</v>
      </c>
      <c r="G6" s="17" t="n">
        <f aca="false">Hypothèses!$B$24*Hypothèses!$B$27</f>
        <v>38.25</v>
      </c>
      <c r="H6" s="12" t="n">
        <v>1</v>
      </c>
      <c r="I6" s="9" t="n">
        <v>0.08</v>
      </c>
      <c r="J6" s="9" t="n">
        <v>0.18</v>
      </c>
      <c r="K6" s="9" t="n">
        <v>1</v>
      </c>
      <c r="L6" s="18" t="s">
        <v>72</v>
      </c>
      <c r="M6" s="19" t="n">
        <f aca="false">G6*H6*I6</f>
        <v>3.06</v>
      </c>
      <c r="N6" s="19" t="n">
        <f aca="false">G6*H6*J6</f>
        <v>6.885</v>
      </c>
      <c r="O6" s="15" t="s">
        <v>109</v>
      </c>
      <c r="P6" s="19" t="n">
        <f aca="false">M6*K6</f>
        <v>3.06</v>
      </c>
      <c r="Q6" s="19" t="n">
        <f aca="false">N6*K6</f>
        <v>6.885</v>
      </c>
    </row>
    <row r="7" customFormat="false" ht="15" hidden="false" customHeight="false" outlineLevel="0" collapsed="false">
      <c r="A7" s="14" t="s">
        <v>126</v>
      </c>
      <c r="B7" s="15" t="s">
        <v>104</v>
      </c>
      <c r="C7" s="15" t="s">
        <v>127</v>
      </c>
      <c r="D7" s="15" t="s">
        <v>128</v>
      </c>
      <c r="E7" s="15" t="s">
        <v>107</v>
      </c>
      <c r="F7" s="16" t="s">
        <v>129</v>
      </c>
      <c r="G7" s="17" t="n">
        <f aca="false">(Hypothèses!$B$25+Hypothèses!$B$26)*Hypothèses!$B$27</f>
        <v>123.25</v>
      </c>
      <c r="H7" s="12" t="n">
        <v>1</v>
      </c>
      <c r="I7" s="9" t="n">
        <v>0.06</v>
      </c>
      <c r="J7" s="9" t="n">
        <v>0.14</v>
      </c>
      <c r="K7" s="9" t="n">
        <v>1</v>
      </c>
      <c r="L7" s="18" t="s">
        <v>72</v>
      </c>
      <c r="M7" s="19" t="n">
        <f aca="false">G7*H7*I7</f>
        <v>7.395</v>
      </c>
      <c r="N7" s="19" t="n">
        <f aca="false">G7*H7*J7</f>
        <v>17.255</v>
      </c>
      <c r="O7" s="15" t="s">
        <v>109</v>
      </c>
      <c r="P7" s="19" t="n">
        <f aca="false">M7*K7</f>
        <v>7.395</v>
      </c>
      <c r="Q7" s="19" t="n">
        <f aca="false">N7*K7</f>
        <v>17.255</v>
      </c>
    </row>
    <row r="8" customFormat="false" ht="15" hidden="false" customHeight="false" outlineLevel="0" collapsed="false">
      <c r="A8" s="14" t="s">
        <v>130</v>
      </c>
      <c r="B8" s="15" t="s">
        <v>131</v>
      </c>
      <c r="C8" s="15" t="s">
        <v>132</v>
      </c>
      <c r="D8" s="15" t="s">
        <v>133</v>
      </c>
      <c r="E8" s="15" t="s">
        <v>107</v>
      </c>
      <c r="F8" s="16" t="s">
        <v>134</v>
      </c>
      <c r="G8" s="17" t="n">
        <f aca="false">Hypothèses!$B$32</f>
        <v>20</v>
      </c>
      <c r="H8" s="12" t="n">
        <v>1</v>
      </c>
      <c r="I8" s="9" t="n">
        <v>0.4</v>
      </c>
      <c r="J8" s="9" t="n">
        <v>1</v>
      </c>
      <c r="K8" s="9" t="n">
        <v>1</v>
      </c>
      <c r="L8" s="18" t="s">
        <v>74</v>
      </c>
      <c r="M8" s="19" t="n">
        <f aca="false">G8*H8*I8</f>
        <v>8</v>
      </c>
      <c r="N8" s="19" t="n">
        <f aca="false">G8*H8*J8</f>
        <v>20</v>
      </c>
      <c r="O8" s="15" t="s">
        <v>109</v>
      </c>
      <c r="P8" s="19" t="n">
        <f aca="false">M8*K8</f>
        <v>8</v>
      </c>
      <c r="Q8" s="19" t="n">
        <f aca="false">N8*K8</f>
        <v>20</v>
      </c>
    </row>
    <row r="9" customFormat="false" ht="15" hidden="false" customHeight="false" outlineLevel="0" collapsed="false">
      <c r="A9" s="14" t="s">
        <v>135</v>
      </c>
      <c r="B9" s="15" t="s">
        <v>131</v>
      </c>
      <c r="C9" s="15" t="s">
        <v>105</v>
      </c>
      <c r="D9" s="15" t="s">
        <v>136</v>
      </c>
      <c r="E9" s="15" t="s">
        <v>137</v>
      </c>
      <c r="F9" s="16" t="s">
        <v>138</v>
      </c>
      <c r="G9" s="17" t="n">
        <f aca="false">Hypothèses!$B$5*Hypothèses!$B$13+Hypothèses!$B$6*Hypothèses!$B$14+Hypothèses!$B$10*Hypothèses!$B$17</f>
        <v>1707</v>
      </c>
      <c r="H9" s="12" t="n">
        <v>1</v>
      </c>
      <c r="I9" s="9" t="n">
        <v>0.004</v>
      </c>
      <c r="J9" s="9" t="n">
        <v>0.012</v>
      </c>
      <c r="K9" s="9" t="n">
        <v>1</v>
      </c>
      <c r="L9" s="18" t="s">
        <v>74</v>
      </c>
      <c r="M9" s="19" t="n">
        <f aca="false">G9*H9*I9</f>
        <v>6.828</v>
      </c>
      <c r="N9" s="19" t="n">
        <f aca="false">G9*H9*J9</f>
        <v>20.484</v>
      </c>
      <c r="O9" s="15" t="s">
        <v>109</v>
      </c>
      <c r="P9" s="19" t="n">
        <f aca="false">M9*K9</f>
        <v>6.828</v>
      </c>
      <c r="Q9" s="19" t="n">
        <f aca="false">N9*K9</f>
        <v>20.484</v>
      </c>
    </row>
    <row r="10" customFormat="false" ht="15" hidden="false" customHeight="false" outlineLevel="0" collapsed="false">
      <c r="A10" s="14" t="s">
        <v>139</v>
      </c>
      <c r="B10" s="15" t="s">
        <v>131</v>
      </c>
      <c r="C10" s="15" t="s">
        <v>105</v>
      </c>
      <c r="D10" s="15" t="s">
        <v>140</v>
      </c>
      <c r="E10" s="15" t="s">
        <v>137</v>
      </c>
      <c r="F10" s="16" t="s">
        <v>141</v>
      </c>
      <c r="G10" s="17" t="n">
        <f aca="false">Hypothèses!$B$7*Hypothèses!$B$15</f>
        <v>498</v>
      </c>
      <c r="H10" s="12" t="n">
        <v>1</v>
      </c>
      <c r="I10" s="9" t="n">
        <v>0.005</v>
      </c>
      <c r="J10" s="9" t="n">
        <v>0.015</v>
      </c>
      <c r="K10" s="9" t="n">
        <v>1</v>
      </c>
      <c r="L10" s="18" t="s">
        <v>74</v>
      </c>
      <c r="M10" s="19" t="n">
        <f aca="false">G10*H10*I10</f>
        <v>2.49</v>
      </c>
      <c r="N10" s="19" t="n">
        <f aca="false">G10*H10*J10</f>
        <v>7.47</v>
      </c>
      <c r="O10" s="15" t="s">
        <v>109</v>
      </c>
      <c r="P10" s="19" t="n">
        <f aca="false">M10*K10</f>
        <v>2.49</v>
      </c>
      <c r="Q10" s="19" t="n">
        <f aca="false">N10*K10</f>
        <v>7.47</v>
      </c>
    </row>
    <row r="11" customFormat="false" ht="15" hidden="false" customHeight="false" outlineLevel="0" collapsed="false">
      <c r="A11" s="14" t="s">
        <v>142</v>
      </c>
      <c r="B11" s="15" t="s">
        <v>131</v>
      </c>
      <c r="C11" s="15" t="s">
        <v>143</v>
      </c>
      <c r="D11" s="15" t="s">
        <v>144</v>
      </c>
      <c r="E11" s="15" t="s">
        <v>137</v>
      </c>
      <c r="F11" s="16" t="s">
        <v>145</v>
      </c>
      <c r="G11" s="17" t="n">
        <f aca="false">Hypothèses!$B$5+Hypothèses!$B$6+Hypothèses!$B$10</f>
        <v>2500</v>
      </c>
      <c r="H11" s="12" t="n">
        <v>1</v>
      </c>
      <c r="I11" s="9" t="n">
        <v>0.003</v>
      </c>
      <c r="J11" s="9" t="n">
        <v>0.01</v>
      </c>
      <c r="K11" s="9" t="n">
        <v>1</v>
      </c>
      <c r="L11" s="18" t="s">
        <v>74</v>
      </c>
      <c r="M11" s="19" t="n">
        <f aca="false">G11*H11*I11</f>
        <v>7.5</v>
      </c>
      <c r="N11" s="19" t="n">
        <f aca="false">G11*H11*J11</f>
        <v>25</v>
      </c>
      <c r="O11" s="15" t="s">
        <v>109</v>
      </c>
      <c r="P11" s="19" t="n">
        <f aca="false">M11*K11</f>
        <v>7.5</v>
      </c>
      <c r="Q11" s="19" t="n">
        <f aca="false">N11*K11</f>
        <v>25</v>
      </c>
    </row>
    <row r="12" customFormat="false" ht="15" hidden="false" customHeight="false" outlineLevel="0" collapsed="false">
      <c r="A12" s="14" t="s">
        <v>146</v>
      </c>
      <c r="B12" s="15" t="s">
        <v>131</v>
      </c>
      <c r="C12" s="15" t="s">
        <v>147</v>
      </c>
      <c r="D12" s="15" t="s">
        <v>148</v>
      </c>
      <c r="E12" s="15" t="s">
        <v>137</v>
      </c>
      <c r="F12" s="16" t="s">
        <v>149</v>
      </c>
      <c r="G12" s="17" t="n">
        <f aca="false">Hypothèses!$B$5*Hypothèses!$B$13+Hypothèses!$B$6*Hypothèses!$B$14</f>
        <v>1392</v>
      </c>
      <c r="H12" s="12" t="n">
        <v>1</v>
      </c>
      <c r="I12" s="9" t="n">
        <v>0.002</v>
      </c>
      <c r="J12" s="9" t="n">
        <v>0.006</v>
      </c>
      <c r="K12" s="9" t="n">
        <v>1</v>
      </c>
      <c r="L12" s="18" t="s">
        <v>74</v>
      </c>
      <c r="M12" s="19" t="n">
        <f aca="false">G12*H12*I12</f>
        <v>2.784</v>
      </c>
      <c r="N12" s="19" t="n">
        <f aca="false">G12*H12*J12</f>
        <v>8.352</v>
      </c>
      <c r="O12" s="15" t="s">
        <v>109</v>
      </c>
      <c r="P12" s="19" t="n">
        <f aca="false">M12*K12</f>
        <v>2.784</v>
      </c>
      <c r="Q12" s="19" t="n">
        <f aca="false">N12*K12</f>
        <v>8.352</v>
      </c>
    </row>
    <row r="13" customFormat="false" ht="15" hidden="false" customHeight="false" outlineLevel="0" collapsed="false">
      <c r="A13" s="14" t="s">
        <v>150</v>
      </c>
      <c r="B13" s="15" t="s">
        <v>131</v>
      </c>
      <c r="C13" s="15" t="s">
        <v>105</v>
      </c>
      <c r="D13" s="15" t="s">
        <v>151</v>
      </c>
      <c r="E13" s="15" t="s">
        <v>137</v>
      </c>
      <c r="F13" s="16" t="s">
        <v>149</v>
      </c>
      <c r="G13" s="17" t="n">
        <f aca="false">Hypothèses!$B$5*Hypothèses!$B$13+Hypothèses!$B$6*Hypothèses!$B$14+Hypothèses!$B$7*Hypothèses!$B$15+Hypothèses!$B$10*Hypothèses!$B$17</f>
        <v>2205</v>
      </c>
      <c r="H13" s="12" t="n">
        <v>1</v>
      </c>
      <c r="I13" s="9" t="n">
        <v>0.001</v>
      </c>
      <c r="J13" s="9" t="n">
        <v>0.003</v>
      </c>
      <c r="K13" s="9" t="n">
        <v>1</v>
      </c>
      <c r="L13" s="18" t="s">
        <v>74</v>
      </c>
      <c r="M13" s="19" t="n">
        <f aca="false">G13*H13*I13</f>
        <v>2.205</v>
      </c>
      <c r="N13" s="19" t="n">
        <f aca="false">G13*H13*J13</f>
        <v>6.615</v>
      </c>
      <c r="O13" s="15" t="s">
        <v>109</v>
      </c>
      <c r="P13" s="19" t="n">
        <f aca="false">M13*K13</f>
        <v>2.205</v>
      </c>
      <c r="Q13" s="19" t="n">
        <f aca="false">N13*K13</f>
        <v>6.615</v>
      </c>
    </row>
    <row r="14" customFormat="false" ht="15" hidden="false" customHeight="false" outlineLevel="0" collapsed="false">
      <c r="A14" s="14" t="s">
        <v>152</v>
      </c>
      <c r="B14" s="15" t="s">
        <v>75</v>
      </c>
      <c r="C14" s="15" t="s">
        <v>115</v>
      </c>
      <c r="D14" s="15" t="s">
        <v>153</v>
      </c>
      <c r="E14" s="15" t="s">
        <v>137</v>
      </c>
      <c r="F14" s="16" t="s">
        <v>154</v>
      </c>
      <c r="G14" s="17" t="n">
        <f aca="false">Hypothèses!$B$5+Hypothèses!$B$6</f>
        <v>2000</v>
      </c>
      <c r="H14" s="12" t="n">
        <v>1</v>
      </c>
      <c r="I14" s="9" t="n">
        <v>0.005</v>
      </c>
      <c r="J14" s="9" t="n">
        <v>0.015</v>
      </c>
      <c r="K14" s="21" t="n">
        <f aca="false">Hypothèses!$B$40</f>
        <v>0.08</v>
      </c>
      <c r="L14" s="18" t="s">
        <v>76</v>
      </c>
      <c r="M14" s="19" t="n">
        <f aca="false">G14*H14*I14</f>
        <v>10</v>
      </c>
      <c r="N14" s="19" t="n">
        <f aca="false">G14*H14*J14</f>
        <v>30</v>
      </c>
      <c r="O14" s="15" t="s">
        <v>155</v>
      </c>
      <c r="P14" s="19" t="n">
        <f aca="false">M14*K14</f>
        <v>0.8</v>
      </c>
      <c r="Q14" s="19" t="n">
        <f aca="false">N14*K14</f>
        <v>2.4</v>
      </c>
    </row>
    <row r="15" customFormat="false" ht="15" hidden="false" customHeight="false" outlineLevel="0" collapsed="false">
      <c r="A15" s="14" t="s">
        <v>156</v>
      </c>
      <c r="B15" s="15" t="s">
        <v>75</v>
      </c>
      <c r="C15" s="15" t="s">
        <v>119</v>
      </c>
      <c r="D15" s="15" t="s">
        <v>157</v>
      </c>
      <c r="E15" s="15" t="s">
        <v>137</v>
      </c>
      <c r="F15" s="16" t="s">
        <v>158</v>
      </c>
      <c r="G15" s="17" t="n">
        <f aca="false">Hypothèses!$B$36*(Hypothèses!$B$5+Hypothèses!$B$6)</f>
        <v>300</v>
      </c>
      <c r="H15" s="12" t="n">
        <v>1</v>
      </c>
      <c r="I15" s="9" t="n">
        <v>0.03</v>
      </c>
      <c r="J15" s="9" t="n">
        <v>0.08</v>
      </c>
      <c r="K15" s="21" t="n">
        <f aca="false">Hypothèses!$B$40</f>
        <v>0.08</v>
      </c>
      <c r="L15" s="18" t="s">
        <v>76</v>
      </c>
      <c r="M15" s="19" t="n">
        <f aca="false">G15*H15*I15</f>
        <v>9</v>
      </c>
      <c r="N15" s="19" t="n">
        <f aca="false">G15*H15*J15</f>
        <v>24</v>
      </c>
      <c r="O15" s="15" t="s">
        <v>155</v>
      </c>
      <c r="P15" s="19" t="n">
        <f aca="false">M15*K15</f>
        <v>0.72</v>
      </c>
      <c r="Q15" s="19" t="n">
        <f aca="false">N15*K15</f>
        <v>1.92</v>
      </c>
    </row>
    <row r="16" customFormat="false" ht="15" hidden="false" customHeight="false" outlineLevel="0" collapsed="false">
      <c r="A16" s="14" t="s">
        <v>159</v>
      </c>
      <c r="B16" s="15" t="s">
        <v>75</v>
      </c>
      <c r="C16" s="15" t="s">
        <v>111</v>
      </c>
      <c r="D16" s="15" t="s">
        <v>160</v>
      </c>
      <c r="E16" s="15" t="s">
        <v>137</v>
      </c>
      <c r="F16" s="16" t="s">
        <v>161</v>
      </c>
      <c r="G16" s="17" t="n">
        <f aca="false">Hypothèses!$B$10</f>
        <v>500</v>
      </c>
      <c r="H16" s="12" t="n">
        <v>1</v>
      </c>
      <c r="I16" s="9" t="n">
        <v>0.02</v>
      </c>
      <c r="J16" s="9" t="n">
        <v>0.05</v>
      </c>
      <c r="K16" s="21" t="n">
        <f aca="false">Hypothèses!$B$41</f>
        <v>0.1</v>
      </c>
      <c r="L16" s="18" t="s">
        <v>76</v>
      </c>
      <c r="M16" s="19" t="n">
        <f aca="false">G16*H16*I16</f>
        <v>10</v>
      </c>
      <c r="N16" s="19" t="n">
        <f aca="false">G16*H16*J16</f>
        <v>25</v>
      </c>
      <c r="O16" s="15" t="s">
        <v>155</v>
      </c>
      <c r="P16" s="19" t="n">
        <f aca="false">M16*K16</f>
        <v>1</v>
      </c>
      <c r="Q16" s="19" t="n">
        <f aca="false">N16*K16</f>
        <v>2.5</v>
      </c>
    </row>
    <row r="17" customFormat="false" ht="15" hidden="false" customHeight="false" outlineLevel="0" collapsed="false">
      <c r="A17" s="14" t="s">
        <v>162</v>
      </c>
      <c r="B17" s="15" t="s">
        <v>75</v>
      </c>
      <c r="C17" s="15" t="s">
        <v>119</v>
      </c>
      <c r="D17" s="15" t="s">
        <v>163</v>
      </c>
      <c r="E17" s="15" t="s">
        <v>137</v>
      </c>
      <c r="F17" s="16" t="s">
        <v>164</v>
      </c>
      <c r="G17" s="17" t="n">
        <f aca="false">Hypothèses!$B$9</f>
        <v>1500</v>
      </c>
      <c r="H17" s="12" t="n">
        <v>1</v>
      </c>
      <c r="I17" s="9" t="n">
        <v>0.01</v>
      </c>
      <c r="J17" s="9" t="n">
        <v>0.03</v>
      </c>
      <c r="K17" s="21" t="n">
        <f aca="false">Hypothèses!$B$42</f>
        <v>0.03</v>
      </c>
      <c r="L17" s="18" t="s">
        <v>76</v>
      </c>
      <c r="M17" s="19" t="n">
        <f aca="false">G17*H17*I17</f>
        <v>15</v>
      </c>
      <c r="N17" s="19" t="n">
        <f aca="false">G17*H17*J17</f>
        <v>45</v>
      </c>
      <c r="O17" s="15" t="s">
        <v>155</v>
      </c>
      <c r="P17" s="19" t="n">
        <f aca="false">M17*K17</f>
        <v>0.45</v>
      </c>
      <c r="Q17" s="19" t="n">
        <f aca="false">N17*K17</f>
        <v>1.35</v>
      </c>
    </row>
    <row r="18" customFormat="false" ht="15" hidden="false" customHeight="false" outlineLevel="0" collapsed="false">
      <c r="A18" s="14" t="s">
        <v>165</v>
      </c>
      <c r="B18" s="15" t="s">
        <v>77</v>
      </c>
      <c r="C18" s="15" t="s">
        <v>77</v>
      </c>
      <c r="D18" s="15" t="s">
        <v>166</v>
      </c>
      <c r="E18" s="15" t="s">
        <v>137</v>
      </c>
      <c r="F18" s="16" t="s">
        <v>167</v>
      </c>
      <c r="G18" s="17" t="n">
        <f aca="false">Hypothèses!$B$33</f>
        <v>1800</v>
      </c>
      <c r="H18" s="12" t="n">
        <v>1</v>
      </c>
      <c r="I18" s="9" t="n">
        <v>0.01</v>
      </c>
      <c r="J18" s="9" t="n">
        <v>0.03</v>
      </c>
      <c r="K18" s="21" t="n">
        <f aca="false">Hypothèses!$B$34</f>
        <v>0.06</v>
      </c>
      <c r="L18" s="18" t="s">
        <v>78</v>
      </c>
      <c r="M18" s="19" t="n">
        <f aca="false">G18*H18*I18</f>
        <v>18</v>
      </c>
      <c r="N18" s="19" t="n">
        <f aca="false">G18*H18*J18</f>
        <v>54</v>
      </c>
      <c r="O18" s="15" t="s">
        <v>168</v>
      </c>
      <c r="P18" s="19" t="n">
        <f aca="false">M18*K18</f>
        <v>1.08</v>
      </c>
      <c r="Q18" s="19" t="n">
        <f aca="false">N18*K18</f>
        <v>3.24</v>
      </c>
    </row>
    <row r="20" customFormat="false" ht="15" hidden="false" customHeight="false" outlineLevel="0" collapsed="false">
      <c r="D20" s="5" t="s">
        <v>169</v>
      </c>
    </row>
    <row r="21" customFormat="false" ht="15" hidden="false" customHeight="false" outlineLevel="0" collapsed="false">
      <c r="D21" s="5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171</v>
      </c>
    </row>
    <row r="3" customFormat="false" ht="15" hidden="false" customHeight="false" outlineLevel="0" collapsed="false">
      <c r="A3" s="13" t="s">
        <v>87</v>
      </c>
      <c r="B3" s="13" t="s">
        <v>172</v>
      </c>
      <c r="C3" s="13" t="s">
        <v>173</v>
      </c>
      <c r="D3" s="13" t="s">
        <v>174</v>
      </c>
    </row>
    <row r="4" customFormat="false" ht="15" hidden="false" customHeight="false" outlineLevel="0" collapsed="false">
      <c r="A4" s="7" t="s">
        <v>131</v>
      </c>
      <c r="B4" s="22" t="n">
        <f aca="false">SUMIF(Blocs!$B$2:$B$18,"S/P",Blocs!$P$2:$P$18)</f>
        <v>29.807</v>
      </c>
      <c r="C4" s="22" t="n">
        <f aca="false">SUMIF(Blocs!$B$2:$B$18,"S/P",Blocs!$Q$2:$Q$18)</f>
        <v>87.921</v>
      </c>
    </row>
    <row r="5" customFormat="false" ht="15" hidden="false" customHeight="false" outlineLevel="0" collapsed="false">
      <c r="A5" s="7" t="s">
        <v>104</v>
      </c>
      <c r="B5" s="22" t="n">
        <f aca="false">SUMIF(Blocs!$B$2:$B$18,"Frais",Blocs!$P$2:$P$18)</f>
        <v>47.073</v>
      </c>
      <c r="C5" s="22" t="n">
        <f aca="false">SUMIF(Blocs!$B$2:$B$18,"Frais",Blocs!$Q$2:$Q$18)</f>
        <v>99.025</v>
      </c>
    </row>
    <row r="6" customFormat="false" ht="15" hidden="false" customHeight="false" outlineLevel="0" collapsed="false">
      <c r="A6" s="7" t="s">
        <v>75</v>
      </c>
      <c r="B6" s="22" t="n">
        <f aca="false">SUMIF(Blocs!$B$2:$B$18,"Croissance",Blocs!$P$2:$P$18)</f>
        <v>2.97</v>
      </c>
      <c r="C6" s="22" t="n">
        <f aca="false">SUMIF(Blocs!$B$2:$B$18,"Croissance",Blocs!$Q$2:$Q$18)</f>
        <v>8.17</v>
      </c>
    </row>
    <row r="7" customFormat="false" ht="15" hidden="false" customHeight="false" outlineLevel="0" collapsed="false">
      <c r="A7" s="7" t="s">
        <v>77</v>
      </c>
      <c r="B7" s="22" t="n">
        <f aca="false">SUMIF(Blocs!$B$2:$B$18,"Capital",Blocs!$P$2:$P$18)</f>
        <v>1.08</v>
      </c>
      <c r="C7" s="22" t="n">
        <f aca="false">SUMIF(Blocs!$B$2:$B$18,"Capital",Blocs!$Q$2:$Q$18)</f>
        <v>3.24</v>
      </c>
    </row>
    <row r="8" customFormat="false" ht="15" hidden="false" customHeight="false" outlineLevel="0" collapsed="false">
      <c r="A8" s="23" t="s">
        <v>175</v>
      </c>
      <c r="B8" s="22" t="n">
        <f aca="false">SUM(B4:B7)</f>
        <v>80.93</v>
      </c>
      <c r="C8" s="22" t="n">
        <f aca="false">SUM(C4:C7)</f>
        <v>198.356</v>
      </c>
    </row>
    <row r="9" customFormat="false" ht="15" hidden="false" customHeight="false" outlineLevel="0" collapsed="false">
      <c r="A9" s="7" t="s">
        <v>176</v>
      </c>
      <c r="B9" s="24" t="n">
        <f aca="false">B8/(Hypothèses!$B$5+Hypothèses!$B$6+Hypothèses!$B$7+Hypothèses!$B$8+Hypothèses!$B$9+Hypothèses!$B$10)</f>
        <v>0.016186</v>
      </c>
      <c r="C9" s="24" t="n">
        <f aca="false">C8/(Hypothèses!$B$5+Hypothèses!$B$6+Hypothèses!$B$7+Hypothèses!$B$8+Hypothèses!$B$9+Hypothèses!$B$10)</f>
        <v>0.0396712</v>
      </c>
    </row>
    <row r="10" customFormat="false" ht="15" hidden="false" customHeight="false" outlineLevel="0" collapsed="false">
      <c r="A10" s="7" t="s">
        <v>177</v>
      </c>
      <c r="B10" s="22" t="n">
        <f aca="false">SUM(Hypothèses!$E$58:$E$62)+Hypothèses!$B$63*B8</f>
        <v>27.093</v>
      </c>
      <c r="C10" s="22" t="n">
        <f aca="false">SUM(Hypothèses!$E$58:$E$62)+Hypothèses!$B$63*C8</f>
        <v>38.8356</v>
      </c>
    </row>
    <row r="11" customFormat="false" ht="15" hidden="false" customHeight="false" outlineLevel="0" collapsed="false">
      <c r="A11" s="23" t="s">
        <v>178</v>
      </c>
      <c r="B11" s="22" t="n">
        <f aca="false">B8-B10</f>
        <v>53.837</v>
      </c>
      <c r="C11" s="22" t="n">
        <f aca="false">C8-C10</f>
        <v>159.5204</v>
      </c>
    </row>
    <row r="13" customFormat="false" ht="15" hidden="false" customHeight="false" outlineLevel="0" collapsed="false">
      <c r="A13" s="6" t="s">
        <v>179</v>
      </c>
    </row>
    <row r="14" customFormat="false" ht="15" hidden="false" customHeight="false" outlineLevel="0" collapsed="false">
      <c r="A14" s="13" t="s">
        <v>88</v>
      </c>
      <c r="B14" s="13" t="s">
        <v>172</v>
      </c>
      <c r="C14" s="13" t="s">
        <v>173</v>
      </c>
      <c r="D14" s="13"/>
    </row>
    <row r="15" customFormat="false" ht="15" hidden="false" customHeight="false" outlineLevel="0" collapsed="false">
      <c r="A15" s="7" t="s">
        <v>105</v>
      </c>
      <c r="B15" s="22" t="n">
        <f aca="false">SUMIF(Blocs!$C$2:$C$18,"Sinistres",Blocs!$P$2:$P$18)</f>
        <v>26.823</v>
      </c>
      <c r="C15" s="22" t="n">
        <f aca="false">SUMIF(Blocs!$C$2:$C$18,"Sinistres",Blocs!$Q$2:$Q$18)</f>
        <v>66.444</v>
      </c>
    </row>
    <row r="16" customFormat="false" ht="15" hidden="false" customHeight="false" outlineLevel="0" collapsed="false">
      <c r="A16" s="7" t="s">
        <v>143</v>
      </c>
      <c r="B16" s="22" t="n">
        <f aca="false">SUMIF(Blocs!$C$2:$C$18,"Tarification",Blocs!$P$2:$P$18)</f>
        <v>7.5</v>
      </c>
      <c r="C16" s="22" t="n">
        <f aca="false">SUMIF(Blocs!$C$2:$C$18,"Tarification",Blocs!$Q$2:$Q$18)</f>
        <v>25</v>
      </c>
    </row>
    <row r="17" customFormat="false" ht="15" hidden="false" customHeight="false" outlineLevel="0" collapsed="false">
      <c r="A17" s="7" t="s">
        <v>111</v>
      </c>
      <c r="B17" s="22" t="n">
        <f aca="false">SUMIF(Blocs!$C$2:$C$18,"Souscription",Blocs!$P$2:$P$18)</f>
        <v>10.35</v>
      </c>
      <c r="C17" s="22" t="n">
        <f aca="false">SUMIF(Blocs!$C$2:$C$18,"Souscription",Blocs!$Q$2:$Q$18)</f>
        <v>23.07</v>
      </c>
    </row>
    <row r="18" customFormat="false" ht="15" hidden="false" customHeight="false" outlineLevel="0" collapsed="false">
      <c r="A18" s="7" t="s">
        <v>132</v>
      </c>
      <c r="B18" s="22" t="n">
        <f aca="false">SUMIF(Blocs!$C$2:$C$18,"Fraude",Blocs!$P$2:$P$18)</f>
        <v>8</v>
      </c>
      <c r="C18" s="22" t="n">
        <f aca="false">SUMIF(Blocs!$C$2:$C$18,"Fraude",Blocs!$Q$2:$Q$18)</f>
        <v>20</v>
      </c>
    </row>
    <row r="19" customFormat="false" ht="15" hidden="false" customHeight="false" outlineLevel="0" collapsed="false">
      <c r="A19" s="7" t="s">
        <v>127</v>
      </c>
      <c r="B19" s="22" t="n">
        <f aca="false">SUMIF(Blocs!$C$2:$C$18,"Support",Blocs!$P$2:$P$18)</f>
        <v>7.395</v>
      </c>
      <c r="C19" s="22" t="n">
        <f aca="false">SUMIF(Blocs!$C$2:$C$18,"Support",Blocs!$Q$2:$Q$18)</f>
        <v>17.255</v>
      </c>
    </row>
    <row r="20" customFormat="false" ht="15" hidden="false" customHeight="false" outlineLevel="0" collapsed="false">
      <c r="A20" s="7" t="s">
        <v>115</v>
      </c>
      <c r="B20" s="22" t="n">
        <f aca="false">SUMIF(Blocs!$C$2:$C$18,"Contrats",Blocs!$P$2:$P$18)</f>
        <v>9.368</v>
      </c>
      <c r="C20" s="22" t="n">
        <f aca="false">SUMIF(Blocs!$C$2:$C$18,"Contrats",Blocs!$Q$2:$Q$18)</f>
        <v>16.68</v>
      </c>
    </row>
    <row r="21" customFormat="false" ht="15" hidden="false" customHeight="false" outlineLevel="0" collapsed="false">
      <c r="A21" s="7" t="s">
        <v>119</v>
      </c>
      <c r="B21" s="22" t="n">
        <f aca="false">SUMIF(Blocs!$C$2:$C$18,"Distribution",Blocs!$P$2:$P$18)</f>
        <v>4.57</v>
      </c>
      <c r="C21" s="22" t="n">
        <f aca="false">SUMIF(Blocs!$C$2:$C$18,"Distribution",Blocs!$Q$2:$Q$18)</f>
        <v>11.43</v>
      </c>
    </row>
    <row r="22" customFormat="false" ht="15" hidden="false" customHeight="false" outlineLevel="0" collapsed="false">
      <c r="A22" s="7" t="s">
        <v>147</v>
      </c>
      <c r="B22" s="22" t="n">
        <f aca="false">SUMIF(Blocs!$C$2:$C$18,"Prévention",Blocs!$P$2:$P$18)</f>
        <v>2.784</v>
      </c>
      <c r="C22" s="22" t="n">
        <f aca="false">SUMIF(Blocs!$C$2:$C$18,"Prévention",Blocs!$Q$2:$Q$18)</f>
        <v>8.352</v>
      </c>
    </row>
    <row r="23" customFormat="false" ht="15" hidden="false" customHeight="false" outlineLevel="0" collapsed="false">
      <c r="A23" s="7" t="s">
        <v>123</v>
      </c>
      <c r="B23" s="22" t="n">
        <f aca="false">SUMIF(Blocs!$C$2:$C$18,"Actuariat",Blocs!$P$2:$P$18)</f>
        <v>3.06</v>
      </c>
      <c r="C23" s="22" t="n">
        <f aca="false">SUMIF(Blocs!$C$2:$C$18,"Actuariat",Blocs!$Q$2:$Q$18)</f>
        <v>6.885</v>
      </c>
    </row>
    <row r="24" customFormat="false" ht="15" hidden="false" customHeight="false" outlineLevel="0" collapsed="false">
      <c r="A24" s="7" t="s">
        <v>77</v>
      </c>
      <c r="B24" s="22" t="n">
        <f aca="false">SUMIF(Blocs!$C$2:$C$18,"Capital",Blocs!$P$2:$P$18)</f>
        <v>1.08</v>
      </c>
      <c r="C24" s="22" t="n">
        <f aca="false">SUMIF(Blocs!$C$2:$C$18,"Capital",Blocs!$Q$2:$Q$18)</f>
        <v>3.24</v>
      </c>
    </row>
    <row r="26" customFormat="false" ht="15" hidden="false" customHeight="false" outlineLevel="0" collapsed="false">
      <c r="A26" s="6" t="s">
        <v>180</v>
      </c>
    </row>
    <row r="27" customFormat="false" ht="15" hidden="false" customHeight="false" outlineLevel="0" collapsed="false">
      <c r="A27" s="7" t="s">
        <v>181</v>
      </c>
      <c r="B27" s="25" t="n">
        <f aca="false">Hypothèses!$B$5+Hypothèses!$B$6+Hypothèses!$B$7+Hypothèses!$B$10</f>
        <v>3100</v>
      </c>
    </row>
    <row r="28" customFormat="false" ht="15" hidden="false" customHeight="false" outlineLevel="0" collapsed="false">
      <c r="A28" s="7" t="s">
        <v>182</v>
      </c>
      <c r="B28" s="24" t="n">
        <f aca="false">(Hypothèses!$B$5*Hypothèses!$B$13+Hypothèses!$B$6*Hypothèses!$B$14+Hypothèses!$B$7*Hypothèses!$B$15+Hypothèses!$B$10*Hypothèses!$B$17)/B27</f>
        <v>0.711290322580645</v>
      </c>
    </row>
    <row r="29" customFormat="false" ht="15" hidden="false" customHeight="false" outlineLevel="0" collapsed="false">
      <c r="A29" s="7" t="s">
        <v>183</v>
      </c>
      <c r="B29" s="24" t="n">
        <f aca="false">Hypothèses!$B$29+Hypothèses!$B$28*(B27/(Hypothèses!$B$5+Hypothèses!$B$6+Hypothèses!$B$7+Hypothèses!$B$8+Hypothèses!$B$9+Hypothèses!$B$10))/B27</f>
        <v>0.234</v>
      </c>
    </row>
    <row r="30" customFormat="false" ht="15" hidden="false" customHeight="false" outlineLevel="0" collapsed="false">
      <c r="A30" s="23" t="s">
        <v>184</v>
      </c>
      <c r="B30" s="24" t="n">
        <f aca="false">B28+B29</f>
        <v>0.945290322580645</v>
      </c>
    </row>
    <row r="31" customFormat="false" ht="15" hidden="false" customHeight="false" outlineLevel="0" collapsed="false">
      <c r="A31" s="13" t="s">
        <v>185</v>
      </c>
      <c r="B31" s="13" t="s">
        <v>172</v>
      </c>
      <c r="C31" s="13" t="s">
        <v>173</v>
      </c>
      <c r="D31" s="13"/>
    </row>
    <row r="32" customFormat="false" ht="15" hidden="false" customHeight="false" outlineLevel="0" collapsed="false">
      <c r="A32" s="7" t="s">
        <v>186</v>
      </c>
      <c r="B32" s="24" t="n">
        <f aca="false">B4/B27</f>
        <v>0.00961516129032258</v>
      </c>
      <c r="C32" s="24" t="n">
        <f aca="false">C4/B27</f>
        <v>0.0283616129032258</v>
      </c>
    </row>
    <row r="33" customFormat="false" ht="15" hidden="false" customHeight="false" outlineLevel="0" collapsed="false">
      <c r="A33" s="7" t="s">
        <v>187</v>
      </c>
      <c r="B33" s="24" t="n">
        <f aca="false">B5*(B27/(Hypothèses!$B$5+Hypothèses!$B$6+Hypothèses!$B$7+Hypothèses!$B$8+Hypothèses!$B$9+Hypothèses!$B$10))/B27</f>
        <v>0.0094146</v>
      </c>
      <c r="C33" s="24" t="n">
        <f aca="false">C5*(B27/(Hypothèses!$B$5+Hypothèses!$B$6+Hypothèses!$B$7+Hypothèses!$B$8+Hypothèses!$B$9+Hypothèses!$B$10))/B27</f>
        <v>0.019805</v>
      </c>
    </row>
    <row r="34" customFormat="false" ht="15" hidden="false" customHeight="false" outlineLevel="0" collapsed="false">
      <c r="A34" s="7" t="s">
        <v>188</v>
      </c>
      <c r="B34" s="24" t="n">
        <f aca="false">B10*(B27/(Hypothèses!$B$5+Hypothèses!$B$6+Hypothèses!$B$7+Hypothèses!$B$8+Hypothèses!$B$9+Hypothèses!$B$10))/B27</f>
        <v>0.0054186</v>
      </c>
      <c r="C34" s="24" t="n">
        <f aca="false">C10*(B27/(Hypothèses!$B$5+Hypothèses!$B$6+Hypothèses!$B$7+Hypothèses!$B$8+Hypothèses!$B$9+Hypothèses!$B$10))/B27</f>
        <v>0.00776712</v>
      </c>
    </row>
    <row r="35" customFormat="false" ht="15" hidden="false" customHeight="false" outlineLevel="0" collapsed="false">
      <c r="A35" s="23" t="s">
        <v>189</v>
      </c>
      <c r="B35" s="24" t="n">
        <f aca="false">B30-B32-B33+B34</f>
        <v>0.931679161290323</v>
      </c>
      <c r="C35" s="24" t="n">
        <f aca="false">B30-C32-C33+C34</f>
        <v>0.904890829677419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4" t="s">
        <v>190</v>
      </c>
    </row>
    <row r="3" customFormat="false" ht="15" hidden="false" customHeight="false" outlineLevel="0" collapsed="false">
      <c r="A3" s="13" t="s">
        <v>86</v>
      </c>
      <c r="B3" s="13" t="s">
        <v>191</v>
      </c>
      <c r="C3" s="13" t="s">
        <v>192</v>
      </c>
      <c r="D3" s="13" t="s">
        <v>193</v>
      </c>
      <c r="E3" s="13" t="s">
        <v>194</v>
      </c>
      <c r="F3" s="13" t="s">
        <v>195</v>
      </c>
      <c r="G3" s="13" t="s">
        <v>196</v>
      </c>
      <c r="H3" s="13" t="s">
        <v>197</v>
      </c>
      <c r="I3" s="13" t="s">
        <v>198</v>
      </c>
      <c r="J3" s="13" t="s">
        <v>199</v>
      </c>
    </row>
    <row r="4" customFormat="false" ht="15" hidden="false" customHeight="false" outlineLevel="0" collapsed="false">
      <c r="A4" s="26" t="str">
        <f aca="false">Blocs!A2</f>
        <v>E1</v>
      </c>
      <c r="B4" s="26" t="str">
        <f aca="false">Blocs!L2</f>
        <v>fast</v>
      </c>
      <c r="C4" s="22" t="n">
        <f aca="false">Blocs!$P$2*INDEX(Hypothèses!$B$52:$B$55,MATCH($B4,Hypothèses!$F$52:$F$55,0))</f>
        <v>2.295</v>
      </c>
      <c r="D4" s="22" t="n">
        <f aca="false">Blocs!$P$2*INDEX(Hypothèses!$C$52:$C$55,MATCH($B4,Hypothèses!$F$52:$F$55,0))</f>
        <v>6.885</v>
      </c>
      <c r="E4" s="22" t="n">
        <f aca="false">Blocs!$P$2*INDEX(Hypothèses!$D$52:$D$55,MATCH($B4,Hypothèses!$F$52:$F$55,0))</f>
        <v>11.475</v>
      </c>
      <c r="F4" s="22" t="n">
        <f aca="false">Blocs!$P$2*INDEX(Hypothèses!$E$52:$E$55,MATCH($B4,Hypothèses!$F$52:$F$55,0))</f>
        <v>14.535</v>
      </c>
      <c r="G4" s="22" t="n">
        <f aca="false">Blocs!$Q$2*INDEX(Hypothèses!$B$52:$B$55,MATCH($B4,Hypothèses!$F$52:$F$55,0))</f>
        <v>4.78125</v>
      </c>
      <c r="H4" s="22" t="n">
        <f aca="false">Blocs!$Q$2*INDEX(Hypothèses!$C$52:$C$55,MATCH($B4,Hypothèses!$F$52:$F$55,0))</f>
        <v>14.34375</v>
      </c>
      <c r="I4" s="22" t="n">
        <f aca="false">Blocs!$Q$2*INDEX(Hypothèses!$D$52:$D$55,MATCH($B4,Hypothèses!$F$52:$F$55,0))</f>
        <v>23.90625</v>
      </c>
      <c r="J4" s="22" t="n">
        <f aca="false">Blocs!$Q$2*INDEX(Hypothèses!$E$52:$E$55,MATCH($B4,Hypothèses!$F$52:$F$55,0))</f>
        <v>30.28125</v>
      </c>
    </row>
    <row r="5" customFormat="false" ht="15" hidden="false" customHeight="false" outlineLevel="0" collapsed="false">
      <c r="A5" s="26" t="str">
        <f aca="false">Blocs!A3</f>
        <v>E2</v>
      </c>
      <c r="B5" s="26" t="str">
        <f aca="false">Blocs!L3</f>
        <v>fast</v>
      </c>
      <c r="C5" s="22" t="n">
        <f aca="false">Blocs!$P$3*INDEX(Hypothèses!$B$52:$B$55,MATCH($B5,Hypothèses!$F$52:$F$55,0))</f>
        <v>1.4025</v>
      </c>
      <c r="D5" s="22" t="n">
        <f aca="false">Blocs!$P$3*INDEX(Hypothèses!$C$52:$C$55,MATCH($B5,Hypothèses!$F$52:$F$55,0))</f>
        <v>4.2075</v>
      </c>
      <c r="E5" s="22" t="n">
        <f aca="false">Blocs!$P$3*INDEX(Hypothèses!$D$52:$D$55,MATCH($B5,Hypothèses!$F$52:$F$55,0))</f>
        <v>7.0125</v>
      </c>
      <c r="F5" s="22" t="n">
        <f aca="false">Blocs!$P$3*INDEX(Hypothèses!$E$52:$E$55,MATCH($B5,Hypothèses!$F$52:$F$55,0))</f>
        <v>8.8825</v>
      </c>
      <c r="G5" s="22" t="n">
        <f aca="false">Blocs!$Q$3*INDEX(Hypothèses!$B$52:$B$55,MATCH($B5,Hypothèses!$F$52:$F$55,0))</f>
        <v>3.0855</v>
      </c>
      <c r="H5" s="22" t="n">
        <f aca="false">Blocs!$Q$3*INDEX(Hypothèses!$C$52:$C$55,MATCH($B5,Hypothèses!$F$52:$F$55,0))</f>
        <v>9.2565</v>
      </c>
      <c r="I5" s="22" t="n">
        <f aca="false">Blocs!$Q$3*INDEX(Hypothèses!$D$52:$D$55,MATCH($B5,Hypothèses!$F$52:$F$55,0))</f>
        <v>15.4275</v>
      </c>
      <c r="J5" s="22" t="n">
        <f aca="false">Blocs!$Q$3*INDEX(Hypothèses!$E$52:$E$55,MATCH($B5,Hypothèses!$F$52:$F$55,0))</f>
        <v>19.5415</v>
      </c>
    </row>
    <row r="6" customFormat="false" ht="15" hidden="false" customHeight="false" outlineLevel="0" collapsed="false">
      <c r="A6" s="26" t="str">
        <f aca="false">Blocs!A4</f>
        <v>E3</v>
      </c>
      <c r="B6" s="26" t="str">
        <f aca="false">Blocs!L4</f>
        <v>fast</v>
      </c>
      <c r="C6" s="22" t="n">
        <f aca="false">Blocs!$P$4*INDEX(Hypothèses!$B$52:$B$55,MATCH($B6,Hypothèses!$F$52:$F$55,0))</f>
        <v>1.2852</v>
      </c>
      <c r="D6" s="22" t="n">
        <f aca="false">Blocs!$P$4*INDEX(Hypothèses!$C$52:$C$55,MATCH($B6,Hypothèses!$F$52:$F$55,0))</f>
        <v>3.8556</v>
      </c>
      <c r="E6" s="22" t="n">
        <f aca="false">Blocs!$P$4*INDEX(Hypothèses!$D$52:$D$55,MATCH($B6,Hypothèses!$F$52:$F$55,0))</f>
        <v>6.426</v>
      </c>
      <c r="F6" s="22" t="n">
        <f aca="false">Blocs!$P$4*INDEX(Hypothèses!$E$52:$E$55,MATCH($B6,Hypothèses!$F$52:$F$55,0))</f>
        <v>8.1396</v>
      </c>
      <c r="G6" s="22" t="n">
        <f aca="false">Blocs!$Q$4*INDEX(Hypothèses!$B$52:$B$55,MATCH($B6,Hypothèses!$F$52:$F$55,0))</f>
        <v>2.142</v>
      </c>
      <c r="H6" s="22" t="n">
        <f aca="false">Blocs!$Q$4*INDEX(Hypothèses!$C$52:$C$55,MATCH($B6,Hypothèses!$F$52:$F$55,0))</f>
        <v>6.426</v>
      </c>
      <c r="I6" s="22" t="n">
        <f aca="false">Blocs!$Q$4*INDEX(Hypothèses!$D$52:$D$55,MATCH($B6,Hypothèses!$F$52:$F$55,0))</f>
        <v>10.71</v>
      </c>
      <c r="J6" s="22" t="n">
        <f aca="false">Blocs!$Q$4*INDEX(Hypothèses!$E$52:$E$55,MATCH($B6,Hypothèses!$F$52:$F$55,0))</f>
        <v>13.566</v>
      </c>
    </row>
    <row r="7" customFormat="false" ht="15" hidden="false" customHeight="false" outlineLevel="0" collapsed="false">
      <c r="A7" s="26" t="str">
        <f aca="false">Blocs!A5</f>
        <v>E4</v>
      </c>
      <c r="B7" s="26" t="str">
        <f aca="false">Blocs!L5</f>
        <v>fast</v>
      </c>
      <c r="C7" s="22" t="n">
        <f aca="false">Blocs!$P$5*INDEX(Hypothèses!$B$52:$B$55,MATCH($B7,Hypothèses!$F$52:$F$55,0))</f>
        <v>0.51</v>
      </c>
      <c r="D7" s="22" t="n">
        <f aca="false">Blocs!$P$5*INDEX(Hypothèses!$C$52:$C$55,MATCH($B7,Hypothèses!$F$52:$F$55,0))</f>
        <v>1.53</v>
      </c>
      <c r="E7" s="22" t="n">
        <f aca="false">Blocs!$P$5*INDEX(Hypothèses!$D$52:$D$55,MATCH($B7,Hypothèses!$F$52:$F$55,0))</f>
        <v>2.55</v>
      </c>
      <c r="F7" s="22" t="n">
        <f aca="false">Blocs!$P$5*INDEX(Hypothèses!$E$52:$E$55,MATCH($B7,Hypothèses!$F$52:$F$55,0))</f>
        <v>3.23</v>
      </c>
      <c r="G7" s="22" t="n">
        <f aca="false">Blocs!$Q$5*INDEX(Hypothèses!$B$52:$B$55,MATCH($B7,Hypothèses!$F$52:$F$55,0))</f>
        <v>1.224</v>
      </c>
      <c r="H7" s="22" t="n">
        <f aca="false">Blocs!$Q$5*INDEX(Hypothèses!$C$52:$C$55,MATCH($B7,Hypothèses!$F$52:$F$55,0))</f>
        <v>3.672</v>
      </c>
      <c r="I7" s="22" t="n">
        <f aca="false">Blocs!$Q$5*INDEX(Hypothèses!$D$52:$D$55,MATCH($B7,Hypothèses!$F$52:$F$55,0))</f>
        <v>6.12</v>
      </c>
      <c r="J7" s="22" t="n">
        <f aca="false">Blocs!$Q$5*INDEX(Hypothèses!$E$52:$E$55,MATCH($B7,Hypothèses!$F$52:$F$55,0))</f>
        <v>7.752</v>
      </c>
    </row>
    <row r="8" customFormat="false" ht="15" hidden="false" customHeight="false" outlineLevel="0" collapsed="false">
      <c r="A8" s="26" t="str">
        <f aca="false">Blocs!A6</f>
        <v>E5</v>
      </c>
      <c r="B8" s="26" t="str">
        <f aca="false">Blocs!L6</f>
        <v>fast</v>
      </c>
      <c r="C8" s="22" t="n">
        <f aca="false">Blocs!$P$6*INDEX(Hypothèses!$B$52:$B$55,MATCH($B8,Hypothèses!$F$52:$F$55,0))</f>
        <v>0.459</v>
      </c>
      <c r="D8" s="22" t="n">
        <f aca="false">Blocs!$P$6*INDEX(Hypothèses!$C$52:$C$55,MATCH($B8,Hypothèses!$F$52:$F$55,0))</f>
        <v>1.377</v>
      </c>
      <c r="E8" s="22" t="n">
        <f aca="false">Blocs!$P$6*INDEX(Hypothèses!$D$52:$D$55,MATCH($B8,Hypothèses!$F$52:$F$55,0))</f>
        <v>2.295</v>
      </c>
      <c r="F8" s="22" t="n">
        <f aca="false">Blocs!$P$6*INDEX(Hypothèses!$E$52:$E$55,MATCH($B8,Hypothèses!$F$52:$F$55,0))</f>
        <v>2.907</v>
      </c>
      <c r="G8" s="22" t="n">
        <f aca="false">Blocs!$Q$6*INDEX(Hypothèses!$B$52:$B$55,MATCH($B8,Hypothèses!$F$52:$F$55,0))</f>
        <v>1.03275</v>
      </c>
      <c r="H8" s="22" t="n">
        <f aca="false">Blocs!$Q$6*INDEX(Hypothèses!$C$52:$C$55,MATCH($B8,Hypothèses!$F$52:$F$55,0))</f>
        <v>3.09825</v>
      </c>
      <c r="I8" s="22" t="n">
        <f aca="false">Blocs!$Q$6*INDEX(Hypothèses!$D$52:$D$55,MATCH($B8,Hypothèses!$F$52:$F$55,0))</f>
        <v>5.16375</v>
      </c>
      <c r="J8" s="22" t="n">
        <f aca="false">Blocs!$Q$6*INDEX(Hypothèses!$E$52:$E$55,MATCH($B8,Hypothèses!$F$52:$F$55,0))</f>
        <v>6.54075</v>
      </c>
    </row>
    <row r="9" customFormat="false" ht="15" hidden="false" customHeight="false" outlineLevel="0" collapsed="false">
      <c r="A9" s="26" t="str">
        <f aca="false">Blocs!A7</f>
        <v>E6</v>
      </c>
      <c r="B9" s="26" t="str">
        <f aca="false">Blocs!L7</f>
        <v>fast</v>
      </c>
      <c r="C9" s="22" t="n">
        <f aca="false">Blocs!$P$7*INDEX(Hypothèses!$B$52:$B$55,MATCH($B9,Hypothèses!$F$52:$F$55,0))</f>
        <v>1.10925</v>
      </c>
      <c r="D9" s="22" t="n">
        <f aca="false">Blocs!$P$7*INDEX(Hypothèses!$C$52:$C$55,MATCH($B9,Hypothèses!$F$52:$F$55,0))</f>
        <v>3.32775</v>
      </c>
      <c r="E9" s="22" t="n">
        <f aca="false">Blocs!$P$7*INDEX(Hypothèses!$D$52:$D$55,MATCH($B9,Hypothèses!$F$52:$F$55,0))</f>
        <v>5.54625</v>
      </c>
      <c r="F9" s="22" t="n">
        <f aca="false">Blocs!$P$7*INDEX(Hypothèses!$E$52:$E$55,MATCH($B9,Hypothèses!$F$52:$F$55,0))</f>
        <v>7.02525</v>
      </c>
      <c r="G9" s="22" t="n">
        <f aca="false">Blocs!$Q$7*INDEX(Hypothèses!$B$52:$B$55,MATCH($B9,Hypothèses!$F$52:$F$55,0))</f>
        <v>2.58825</v>
      </c>
      <c r="H9" s="22" t="n">
        <f aca="false">Blocs!$Q$7*INDEX(Hypothèses!$C$52:$C$55,MATCH($B9,Hypothèses!$F$52:$F$55,0))</f>
        <v>7.76475</v>
      </c>
      <c r="I9" s="22" t="n">
        <f aca="false">Blocs!$Q$7*INDEX(Hypothèses!$D$52:$D$55,MATCH($B9,Hypothèses!$F$52:$F$55,0))</f>
        <v>12.94125</v>
      </c>
      <c r="J9" s="22" t="n">
        <f aca="false">Blocs!$Q$7*INDEX(Hypothèses!$E$52:$E$55,MATCH($B9,Hypothèses!$F$52:$F$55,0))</f>
        <v>16.39225</v>
      </c>
    </row>
    <row r="10" customFormat="false" ht="15" hidden="false" customHeight="false" outlineLevel="0" collapsed="false">
      <c r="A10" s="26" t="str">
        <f aca="false">Blocs!A8</f>
        <v>L1</v>
      </c>
      <c r="B10" s="26" t="str">
        <f aca="false">Blocs!L8</f>
        <v>lag</v>
      </c>
      <c r="C10" s="22" t="n">
        <f aca="false">Blocs!$P$8*INDEX(Hypothèses!$B$52:$B$55,MATCH($B10,Hypothèses!$F$52:$F$55,0))</f>
        <v>0.4</v>
      </c>
      <c r="D10" s="22" t="n">
        <f aca="false">Blocs!$P$8*INDEX(Hypothèses!$C$52:$C$55,MATCH($B10,Hypothèses!$F$52:$F$55,0))</f>
        <v>2</v>
      </c>
      <c r="E10" s="22" t="n">
        <f aca="false">Blocs!$P$8*INDEX(Hypothèses!$D$52:$D$55,MATCH($B10,Hypothèses!$F$52:$F$55,0))</f>
        <v>4.4</v>
      </c>
      <c r="F10" s="22" t="n">
        <f aca="false">Blocs!$P$8*INDEX(Hypothèses!$E$52:$E$55,MATCH($B10,Hypothèses!$F$52:$F$55,0))</f>
        <v>6.8</v>
      </c>
      <c r="G10" s="22" t="n">
        <f aca="false">Blocs!$Q$8*INDEX(Hypothèses!$B$52:$B$55,MATCH($B10,Hypothèses!$F$52:$F$55,0))</f>
        <v>1</v>
      </c>
      <c r="H10" s="22" t="n">
        <f aca="false">Blocs!$Q$8*INDEX(Hypothèses!$C$52:$C$55,MATCH($B10,Hypothèses!$F$52:$F$55,0))</f>
        <v>5</v>
      </c>
      <c r="I10" s="22" t="n">
        <f aca="false">Blocs!$Q$8*INDEX(Hypothèses!$D$52:$D$55,MATCH($B10,Hypothèses!$F$52:$F$55,0))</f>
        <v>11</v>
      </c>
      <c r="J10" s="22" t="n">
        <f aca="false">Blocs!$Q$8*INDEX(Hypothèses!$E$52:$E$55,MATCH($B10,Hypothèses!$F$52:$F$55,0))</f>
        <v>17</v>
      </c>
    </row>
    <row r="11" customFormat="false" ht="15" hidden="false" customHeight="false" outlineLevel="0" collapsed="false">
      <c r="A11" s="26" t="str">
        <f aca="false">Blocs!A9</f>
        <v>L2</v>
      </c>
      <c r="B11" s="26" t="str">
        <f aca="false">Blocs!L9</f>
        <v>lag</v>
      </c>
      <c r="C11" s="22" t="n">
        <f aca="false">Blocs!$P$9*INDEX(Hypothèses!$B$52:$B$55,MATCH($B11,Hypothèses!$F$52:$F$55,0))</f>
        <v>0.3414</v>
      </c>
      <c r="D11" s="22" t="n">
        <f aca="false">Blocs!$P$9*INDEX(Hypothèses!$C$52:$C$55,MATCH($B11,Hypothèses!$F$52:$F$55,0))</f>
        <v>1.707</v>
      </c>
      <c r="E11" s="22" t="n">
        <f aca="false">Blocs!$P$9*INDEX(Hypothèses!$D$52:$D$55,MATCH($B11,Hypothèses!$F$52:$F$55,0))</f>
        <v>3.7554</v>
      </c>
      <c r="F11" s="22" t="n">
        <f aca="false">Blocs!$P$9*INDEX(Hypothèses!$E$52:$E$55,MATCH($B11,Hypothèses!$F$52:$F$55,0))</f>
        <v>5.8038</v>
      </c>
      <c r="G11" s="22" t="n">
        <f aca="false">Blocs!$Q$9*INDEX(Hypothèses!$B$52:$B$55,MATCH($B11,Hypothèses!$F$52:$F$55,0))</f>
        <v>1.0242</v>
      </c>
      <c r="H11" s="22" t="n">
        <f aca="false">Blocs!$Q$9*INDEX(Hypothèses!$C$52:$C$55,MATCH($B11,Hypothèses!$F$52:$F$55,0))</f>
        <v>5.121</v>
      </c>
      <c r="I11" s="22" t="n">
        <f aca="false">Blocs!$Q$9*INDEX(Hypothèses!$D$52:$D$55,MATCH($B11,Hypothèses!$F$52:$F$55,0))</f>
        <v>11.2662</v>
      </c>
      <c r="J11" s="22" t="n">
        <f aca="false">Blocs!$Q$9*INDEX(Hypothèses!$E$52:$E$55,MATCH($B11,Hypothèses!$F$52:$F$55,0))</f>
        <v>17.4114</v>
      </c>
    </row>
    <row r="12" customFormat="false" ht="15" hidden="false" customHeight="false" outlineLevel="0" collapsed="false">
      <c r="A12" s="26" t="str">
        <f aca="false">Blocs!A10</f>
        <v>L3</v>
      </c>
      <c r="B12" s="26" t="str">
        <f aca="false">Blocs!L10</f>
        <v>lag</v>
      </c>
      <c r="C12" s="22" t="n">
        <f aca="false">Blocs!$P$10*INDEX(Hypothèses!$B$52:$B$55,MATCH($B12,Hypothèses!$F$52:$F$55,0))</f>
        <v>0.1245</v>
      </c>
      <c r="D12" s="22" t="n">
        <f aca="false">Blocs!$P$10*INDEX(Hypothèses!$C$52:$C$55,MATCH($B12,Hypothèses!$F$52:$F$55,0))</f>
        <v>0.6225</v>
      </c>
      <c r="E12" s="22" t="n">
        <f aca="false">Blocs!$P$10*INDEX(Hypothèses!$D$52:$D$55,MATCH($B12,Hypothèses!$F$52:$F$55,0))</f>
        <v>1.3695</v>
      </c>
      <c r="F12" s="22" t="n">
        <f aca="false">Blocs!$P$10*INDEX(Hypothèses!$E$52:$E$55,MATCH($B12,Hypothèses!$F$52:$F$55,0))</f>
        <v>2.1165</v>
      </c>
      <c r="G12" s="22" t="n">
        <f aca="false">Blocs!$Q$10*INDEX(Hypothèses!$B$52:$B$55,MATCH($B12,Hypothèses!$F$52:$F$55,0))</f>
        <v>0.3735</v>
      </c>
      <c r="H12" s="22" t="n">
        <f aca="false">Blocs!$Q$10*INDEX(Hypothèses!$C$52:$C$55,MATCH($B12,Hypothèses!$F$52:$F$55,0))</f>
        <v>1.8675</v>
      </c>
      <c r="I12" s="22" t="n">
        <f aca="false">Blocs!$Q$10*INDEX(Hypothèses!$D$52:$D$55,MATCH($B12,Hypothèses!$F$52:$F$55,0))</f>
        <v>4.1085</v>
      </c>
      <c r="J12" s="22" t="n">
        <f aca="false">Blocs!$Q$10*INDEX(Hypothèses!$E$52:$E$55,MATCH($B12,Hypothèses!$F$52:$F$55,0))</f>
        <v>6.3495</v>
      </c>
    </row>
    <row r="13" customFormat="false" ht="15" hidden="false" customHeight="false" outlineLevel="0" collapsed="false">
      <c r="A13" s="26" t="str">
        <f aca="false">Blocs!A11</f>
        <v>L4</v>
      </c>
      <c r="B13" s="26" t="str">
        <f aca="false">Blocs!L11</f>
        <v>lag</v>
      </c>
      <c r="C13" s="22" t="n">
        <f aca="false">Blocs!$P$11*INDEX(Hypothèses!$B$52:$B$55,MATCH($B13,Hypothèses!$F$52:$F$55,0))</f>
        <v>0.375</v>
      </c>
      <c r="D13" s="22" t="n">
        <f aca="false">Blocs!$P$11*INDEX(Hypothèses!$C$52:$C$55,MATCH($B13,Hypothèses!$F$52:$F$55,0))</f>
        <v>1.875</v>
      </c>
      <c r="E13" s="22" t="n">
        <f aca="false">Blocs!$P$11*INDEX(Hypothèses!$D$52:$D$55,MATCH($B13,Hypothèses!$F$52:$F$55,0))</f>
        <v>4.125</v>
      </c>
      <c r="F13" s="22" t="n">
        <f aca="false">Blocs!$P$11*INDEX(Hypothèses!$E$52:$E$55,MATCH($B13,Hypothèses!$F$52:$F$55,0))</f>
        <v>6.375</v>
      </c>
      <c r="G13" s="22" t="n">
        <f aca="false">Blocs!$Q$11*INDEX(Hypothèses!$B$52:$B$55,MATCH($B13,Hypothèses!$F$52:$F$55,0))</f>
        <v>1.25</v>
      </c>
      <c r="H13" s="22" t="n">
        <f aca="false">Blocs!$Q$11*INDEX(Hypothèses!$C$52:$C$55,MATCH($B13,Hypothèses!$F$52:$F$55,0))</f>
        <v>6.25</v>
      </c>
      <c r="I13" s="22" t="n">
        <f aca="false">Blocs!$Q$11*INDEX(Hypothèses!$D$52:$D$55,MATCH($B13,Hypothèses!$F$52:$F$55,0))</f>
        <v>13.75</v>
      </c>
      <c r="J13" s="22" t="n">
        <f aca="false">Blocs!$Q$11*INDEX(Hypothèses!$E$52:$E$55,MATCH($B13,Hypothèses!$F$52:$F$55,0))</f>
        <v>21.25</v>
      </c>
    </row>
    <row r="14" customFormat="false" ht="15" hidden="false" customHeight="false" outlineLevel="0" collapsed="false">
      <c r="A14" s="26" t="str">
        <f aca="false">Blocs!A12</f>
        <v>L5</v>
      </c>
      <c r="B14" s="26" t="str">
        <f aca="false">Blocs!L12</f>
        <v>lag</v>
      </c>
      <c r="C14" s="22" t="n">
        <f aca="false">Blocs!$P$12*INDEX(Hypothèses!$B$52:$B$55,MATCH($B14,Hypothèses!$F$52:$F$55,0))</f>
        <v>0.1392</v>
      </c>
      <c r="D14" s="22" t="n">
        <f aca="false">Blocs!$P$12*INDEX(Hypothèses!$C$52:$C$55,MATCH($B14,Hypothèses!$F$52:$F$55,0))</f>
        <v>0.696</v>
      </c>
      <c r="E14" s="22" t="n">
        <f aca="false">Blocs!$P$12*INDEX(Hypothèses!$D$52:$D$55,MATCH($B14,Hypothèses!$F$52:$F$55,0))</f>
        <v>1.5312</v>
      </c>
      <c r="F14" s="22" t="n">
        <f aca="false">Blocs!$P$12*INDEX(Hypothèses!$E$52:$E$55,MATCH($B14,Hypothèses!$F$52:$F$55,0))</f>
        <v>2.3664</v>
      </c>
      <c r="G14" s="22" t="n">
        <f aca="false">Blocs!$Q$12*INDEX(Hypothèses!$B$52:$B$55,MATCH($B14,Hypothèses!$F$52:$F$55,0))</f>
        <v>0.4176</v>
      </c>
      <c r="H14" s="22" t="n">
        <f aca="false">Blocs!$Q$12*INDEX(Hypothèses!$C$52:$C$55,MATCH($B14,Hypothèses!$F$52:$F$55,0))</f>
        <v>2.088</v>
      </c>
      <c r="I14" s="22" t="n">
        <f aca="false">Blocs!$Q$12*INDEX(Hypothèses!$D$52:$D$55,MATCH($B14,Hypothèses!$F$52:$F$55,0))</f>
        <v>4.5936</v>
      </c>
      <c r="J14" s="22" t="n">
        <f aca="false">Blocs!$Q$12*INDEX(Hypothèses!$E$52:$E$55,MATCH($B14,Hypothèses!$F$52:$F$55,0))</f>
        <v>7.0992</v>
      </c>
    </row>
    <row r="15" customFormat="false" ht="15" hidden="false" customHeight="false" outlineLevel="0" collapsed="false">
      <c r="A15" s="26" t="str">
        <f aca="false">Blocs!A13</f>
        <v>L6</v>
      </c>
      <c r="B15" s="26" t="str">
        <f aca="false">Blocs!L13</f>
        <v>lag</v>
      </c>
      <c r="C15" s="22" t="n">
        <f aca="false">Blocs!$P$13*INDEX(Hypothèses!$B$52:$B$55,MATCH($B15,Hypothèses!$F$52:$F$55,0))</f>
        <v>0.11025</v>
      </c>
      <c r="D15" s="22" t="n">
        <f aca="false">Blocs!$P$13*INDEX(Hypothèses!$C$52:$C$55,MATCH($B15,Hypothèses!$F$52:$F$55,0))</f>
        <v>0.55125</v>
      </c>
      <c r="E15" s="22" t="n">
        <f aca="false">Blocs!$P$13*INDEX(Hypothèses!$D$52:$D$55,MATCH($B15,Hypothèses!$F$52:$F$55,0))</f>
        <v>1.21275</v>
      </c>
      <c r="F15" s="22" t="n">
        <f aca="false">Blocs!$P$13*INDEX(Hypothèses!$E$52:$E$55,MATCH($B15,Hypothèses!$F$52:$F$55,0))</f>
        <v>1.87425</v>
      </c>
      <c r="G15" s="22" t="n">
        <f aca="false">Blocs!$Q$13*INDEX(Hypothèses!$B$52:$B$55,MATCH($B15,Hypothèses!$F$52:$F$55,0))</f>
        <v>0.33075</v>
      </c>
      <c r="H15" s="22" t="n">
        <f aca="false">Blocs!$Q$13*INDEX(Hypothèses!$C$52:$C$55,MATCH($B15,Hypothèses!$F$52:$F$55,0))</f>
        <v>1.65375</v>
      </c>
      <c r="I15" s="22" t="n">
        <f aca="false">Blocs!$Q$13*INDEX(Hypothèses!$D$52:$D$55,MATCH($B15,Hypothèses!$F$52:$F$55,0))</f>
        <v>3.63825</v>
      </c>
      <c r="J15" s="22" t="n">
        <f aca="false">Blocs!$Q$13*INDEX(Hypothèses!$E$52:$E$55,MATCH($B15,Hypothèses!$F$52:$F$55,0))</f>
        <v>5.62275</v>
      </c>
    </row>
    <row r="16" customFormat="false" ht="15" hidden="false" customHeight="false" outlineLevel="0" collapsed="false">
      <c r="A16" s="26" t="str">
        <f aca="false">Blocs!A14</f>
        <v>G1</v>
      </c>
      <c r="B16" s="26" t="str">
        <f aca="false">Blocs!L14</f>
        <v>mid</v>
      </c>
      <c r="C16" s="22" t="n">
        <f aca="false">Blocs!$P$14*INDEX(Hypothèses!$B$52:$B$55,MATCH($B16,Hypothèses!$F$52:$F$55,0))</f>
        <v>0.08</v>
      </c>
      <c r="D16" s="22" t="n">
        <f aca="false">Blocs!$P$14*INDEX(Hypothèses!$C$52:$C$55,MATCH($B16,Hypothèses!$F$52:$F$55,0))</f>
        <v>0.28</v>
      </c>
      <c r="E16" s="22" t="n">
        <f aca="false">Blocs!$P$14*INDEX(Hypothèses!$D$52:$D$55,MATCH($B16,Hypothèses!$F$52:$F$55,0))</f>
        <v>0.52</v>
      </c>
      <c r="F16" s="22" t="n">
        <f aca="false">Blocs!$P$14*INDEX(Hypothèses!$E$52:$E$55,MATCH($B16,Hypothèses!$F$52:$F$55,0))</f>
        <v>0.72</v>
      </c>
      <c r="G16" s="22" t="n">
        <f aca="false">Blocs!$Q$14*INDEX(Hypothèses!$B$52:$B$55,MATCH($B16,Hypothèses!$F$52:$F$55,0))</f>
        <v>0.24</v>
      </c>
      <c r="H16" s="22" t="n">
        <f aca="false">Blocs!$Q$14*INDEX(Hypothèses!$C$52:$C$55,MATCH($B16,Hypothèses!$F$52:$F$55,0))</f>
        <v>0.84</v>
      </c>
      <c r="I16" s="22" t="n">
        <f aca="false">Blocs!$Q$14*INDEX(Hypothèses!$D$52:$D$55,MATCH($B16,Hypothèses!$F$52:$F$55,0))</f>
        <v>1.56</v>
      </c>
      <c r="J16" s="22" t="n">
        <f aca="false">Blocs!$Q$14*INDEX(Hypothèses!$E$52:$E$55,MATCH($B16,Hypothèses!$F$52:$F$55,0))</f>
        <v>2.16</v>
      </c>
    </row>
    <row r="17" customFormat="false" ht="15" hidden="false" customHeight="false" outlineLevel="0" collapsed="false">
      <c r="A17" s="26" t="str">
        <f aca="false">Blocs!A15</f>
        <v>G2</v>
      </c>
      <c r="B17" s="26" t="str">
        <f aca="false">Blocs!L15</f>
        <v>mid</v>
      </c>
      <c r="C17" s="22" t="n">
        <f aca="false">Blocs!$P$15*INDEX(Hypothèses!$B$52:$B$55,MATCH($B17,Hypothèses!$F$52:$F$55,0))</f>
        <v>0.072</v>
      </c>
      <c r="D17" s="22" t="n">
        <f aca="false">Blocs!$P$15*INDEX(Hypothèses!$C$52:$C$55,MATCH($B17,Hypothèses!$F$52:$F$55,0))</f>
        <v>0.252</v>
      </c>
      <c r="E17" s="22" t="n">
        <f aca="false">Blocs!$P$15*INDEX(Hypothèses!$D$52:$D$55,MATCH($B17,Hypothèses!$F$52:$F$55,0))</f>
        <v>0.468</v>
      </c>
      <c r="F17" s="22" t="n">
        <f aca="false">Blocs!$P$15*INDEX(Hypothèses!$E$52:$E$55,MATCH($B17,Hypothèses!$F$52:$F$55,0))</f>
        <v>0.648</v>
      </c>
      <c r="G17" s="22" t="n">
        <f aca="false">Blocs!$Q$15*INDEX(Hypothèses!$B$52:$B$55,MATCH($B17,Hypothèses!$F$52:$F$55,0))</f>
        <v>0.192</v>
      </c>
      <c r="H17" s="22" t="n">
        <f aca="false">Blocs!$Q$15*INDEX(Hypothèses!$C$52:$C$55,MATCH($B17,Hypothèses!$F$52:$F$55,0))</f>
        <v>0.672</v>
      </c>
      <c r="I17" s="22" t="n">
        <f aca="false">Blocs!$Q$15*INDEX(Hypothèses!$D$52:$D$55,MATCH($B17,Hypothèses!$F$52:$F$55,0))</f>
        <v>1.248</v>
      </c>
      <c r="J17" s="22" t="n">
        <f aca="false">Blocs!$Q$15*INDEX(Hypothèses!$E$52:$E$55,MATCH($B17,Hypothèses!$F$52:$F$55,0))</f>
        <v>1.728</v>
      </c>
    </row>
    <row r="18" customFormat="false" ht="15" hidden="false" customHeight="false" outlineLevel="0" collapsed="false">
      <c r="A18" s="26" t="str">
        <f aca="false">Blocs!A16</f>
        <v>G3</v>
      </c>
      <c r="B18" s="26" t="str">
        <f aca="false">Blocs!L16</f>
        <v>mid</v>
      </c>
      <c r="C18" s="22" t="n">
        <f aca="false">Blocs!$P$16*INDEX(Hypothèses!$B$52:$B$55,MATCH($B18,Hypothèses!$F$52:$F$55,0))</f>
        <v>0.1</v>
      </c>
      <c r="D18" s="22" t="n">
        <f aca="false">Blocs!$P$16*INDEX(Hypothèses!$C$52:$C$55,MATCH($B18,Hypothèses!$F$52:$F$55,0))</f>
        <v>0.35</v>
      </c>
      <c r="E18" s="22" t="n">
        <f aca="false">Blocs!$P$16*INDEX(Hypothèses!$D$52:$D$55,MATCH($B18,Hypothèses!$F$52:$F$55,0))</f>
        <v>0.65</v>
      </c>
      <c r="F18" s="22" t="n">
        <f aca="false">Blocs!$P$16*INDEX(Hypothèses!$E$52:$E$55,MATCH($B18,Hypothèses!$F$52:$F$55,0))</f>
        <v>0.9</v>
      </c>
      <c r="G18" s="22" t="n">
        <f aca="false">Blocs!$Q$16*INDEX(Hypothèses!$B$52:$B$55,MATCH($B18,Hypothèses!$F$52:$F$55,0))</f>
        <v>0.25</v>
      </c>
      <c r="H18" s="22" t="n">
        <f aca="false">Blocs!$Q$16*INDEX(Hypothèses!$C$52:$C$55,MATCH($B18,Hypothèses!$F$52:$F$55,0))</f>
        <v>0.875</v>
      </c>
      <c r="I18" s="22" t="n">
        <f aca="false">Blocs!$Q$16*INDEX(Hypothèses!$D$52:$D$55,MATCH($B18,Hypothèses!$F$52:$F$55,0))</f>
        <v>1.625</v>
      </c>
      <c r="J18" s="22" t="n">
        <f aca="false">Blocs!$Q$16*INDEX(Hypothèses!$E$52:$E$55,MATCH($B18,Hypothèses!$F$52:$F$55,0))</f>
        <v>2.25</v>
      </c>
    </row>
    <row r="19" customFormat="false" ht="15" hidden="false" customHeight="false" outlineLevel="0" collapsed="false">
      <c r="A19" s="26" t="str">
        <f aca="false">Blocs!A17</f>
        <v>G4</v>
      </c>
      <c r="B19" s="26" t="str">
        <f aca="false">Blocs!L17</f>
        <v>mid</v>
      </c>
      <c r="C19" s="22" t="n">
        <f aca="false">Blocs!$P$17*INDEX(Hypothèses!$B$52:$B$55,MATCH($B19,Hypothèses!$F$52:$F$55,0))</f>
        <v>0.045</v>
      </c>
      <c r="D19" s="22" t="n">
        <f aca="false">Blocs!$P$17*INDEX(Hypothèses!$C$52:$C$55,MATCH($B19,Hypothèses!$F$52:$F$55,0))</f>
        <v>0.1575</v>
      </c>
      <c r="E19" s="22" t="n">
        <f aca="false">Blocs!$P$17*INDEX(Hypothèses!$D$52:$D$55,MATCH($B19,Hypothèses!$F$52:$F$55,0))</f>
        <v>0.2925</v>
      </c>
      <c r="F19" s="22" t="n">
        <f aca="false">Blocs!$P$17*INDEX(Hypothèses!$E$52:$E$55,MATCH($B19,Hypothèses!$F$52:$F$55,0))</f>
        <v>0.405</v>
      </c>
      <c r="G19" s="22" t="n">
        <f aca="false">Blocs!$Q$17*INDEX(Hypothèses!$B$52:$B$55,MATCH($B19,Hypothèses!$F$52:$F$55,0))</f>
        <v>0.135</v>
      </c>
      <c r="H19" s="22" t="n">
        <f aca="false">Blocs!$Q$17*INDEX(Hypothèses!$C$52:$C$55,MATCH($B19,Hypothèses!$F$52:$F$55,0))</f>
        <v>0.4725</v>
      </c>
      <c r="I19" s="22" t="n">
        <f aca="false">Blocs!$Q$17*INDEX(Hypothèses!$D$52:$D$55,MATCH($B19,Hypothèses!$F$52:$F$55,0))</f>
        <v>0.8775</v>
      </c>
      <c r="J19" s="22" t="n">
        <f aca="false">Blocs!$Q$17*INDEX(Hypothèses!$E$52:$E$55,MATCH($B19,Hypothèses!$F$52:$F$55,0))</f>
        <v>1.215</v>
      </c>
    </row>
    <row r="20" customFormat="false" ht="15" hidden="false" customHeight="false" outlineLevel="0" collapsed="false">
      <c r="A20" s="26" t="str">
        <f aca="false">Blocs!A18</f>
        <v>C1</v>
      </c>
      <c r="B20" s="26" t="str">
        <f aca="false">Blocs!L18</f>
        <v>slow</v>
      </c>
      <c r="C20" s="22" t="n">
        <f aca="false">Blocs!$P$18*INDEX(Hypothèses!$B$52:$B$55,MATCH($B20,Hypothèses!$F$52:$F$55,0))</f>
        <v>0</v>
      </c>
      <c r="D20" s="22" t="n">
        <f aca="false">Blocs!$P$18*INDEX(Hypothèses!$C$52:$C$55,MATCH($B20,Hypothèses!$F$52:$F$55,0))</f>
        <v>0.216</v>
      </c>
      <c r="E20" s="22" t="n">
        <f aca="false">Blocs!$P$18*INDEX(Hypothèses!$D$52:$D$55,MATCH($B20,Hypothèses!$F$52:$F$55,0))</f>
        <v>0.54</v>
      </c>
      <c r="F20" s="22" t="n">
        <f aca="false">Blocs!$P$18*INDEX(Hypothèses!$E$52:$E$55,MATCH($B20,Hypothèses!$F$52:$F$55,0))</f>
        <v>0.864</v>
      </c>
      <c r="G20" s="22" t="n">
        <f aca="false">Blocs!$Q$18*INDEX(Hypothèses!$B$52:$B$55,MATCH($B20,Hypothèses!$F$52:$F$55,0))</f>
        <v>0</v>
      </c>
      <c r="H20" s="22" t="n">
        <f aca="false">Blocs!$Q$18*INDEX(Hypothèses!$C$52:$C$55,MATCH($B20,Hypothèses!$F$52:$F$55,0))</f>
        <v>0.648</v>
      </c>
      <c r="I20" s="22" t="n">
        <f aca="false">Blocs!$Q$18*INDEX(Hypothèses!$D$52:$D$55,MATCH($B20,Hypothèses!$F$52:$F$55,0))</f>
        <v>1.62</v>
      </c>
      <c r="J20" s="22" t="n">
        <f aca="false">Blocs!$Q$18*INDEX(Hypothèses!$E$52:$E$55,MATCH($B20,Hypothèses!$F$52:$F$55,0))</f>
        <v>2.592</v>
      </c>
    </row>
    <row r="22" customFormat="false" ht="15" hidden="false" customHeight="false" outlineLevel="0" collapsed="false">
      <c r="A22" s="23" t="s">
        <v>200</v>
      </c>
      <c r="C22" s="22" t="n">
        <f aca="false">SUM(C4:C20)</f>
        <v>8.8483</v>
      </c>
      <c r="D22" s="22" t="n">
        <f aca="false">SUM(D4:D20)</f>
        <v>29.8901</v>
      </c>
      <c r="E22" s="22" t="n">
        <f aca="false">SUM(E4:E20)</f>
        <v>54.1691</v>
      </c>
      <c r="F22" s="22" t="n">
        <f aca="false">SUM(F4:F20)</f>
        <v>73.5923</v>
      </c>
      <c r="G22" s="22" t="n">
        <f aca="false">SUM(G4:G20)</f>
        <v>20.0668</v>
      </c>
      <c r="H22" s="22" t="n">
        <f aca="false">SUM(H4:H20)</f>
        <v>70.049</v>
      </c>
      <c r="I22" s="22" t="n">
        <f aca="false">SUM(I4:I20)</f>
        <v>129.5558</v>
      </c>
      <c r="J22" s="22" t="n">
        <f aca="false">SUM(J4:J20)</f>
        <v>178.7516</v>
      </c>
    </row>
    <row r="23" customFormat="false" ht="15" hidden="false" customHeight="false" outlineLevel="0" collapsed="false">
      <c r="A23" s="23" t="s">
        <v>201</v>
      </c>
      <c r="C23" s="22" t="n">
        <f aca="false">SUM(Hypothèses!$B$58:$B$62)</f>
        <v>25</v>
      </c>
      <c r="D23" s="22" t="n">
        <f aca="false">SUM(Hypothèses!$C$58:$C$62)</f>
        <v>25</v>
      </c>
      <c r="E23" s="22" t="n">
        <f aca="false">SUM(Hypothèses!$D$58:$D$62)</f>
        <v>22</v>
      </c>
      <c r="F23" s="22" t="n">
        <f aca="false">SUM(Hypothèses!$E$58:$E$62)</f>
        <v>19</v>
      </c>
      <c r="G23" s="22" t="n">
        <f aca="false">SUM(Hypothèses!$B$58:$B$62)</f>
        <v>25</v>
      </c>
      <c r="H23" s="22" t="n">
        <f aca="false">SUM(Hypothèses!$C$58:$C$62)</f>
        <v>25</v>
      </c>
      <c r="I23" s="22" t="n">
        <f aca="false">SUM(Hypothèses!$D$58:$D$62)</f>
        <v>22</v>
      </c>
      <c r="J23" s="22" t="n">
        <f aca="false">SUM(Hypothèses!$E$58:$E$62)</f>
        <v>19</v>
      </c>
    </row>
    <row r="24" customFormat="false" ht="15" hidden="false" customHeight="false" outlineLevel="0" collapsed="false">
      <c r="A24" s="23" t="s">
        <v>202</v>
      </c>
      <c r="C24" s="22" t="n">
        <f aca="false">Hypothèses!$B$63*C22</f>
        <v>0.88483</v>
      </c>
      <c r="D24" s="22" t="n">
        <f aca="false">Hypothèses!$B$63*D22</f>
        <v>2.98901</v>
      </c>
      <c r="E24" s="22" t="n">
        <f aca="false">Hypothèses!$B$63*E22</f>
        <v>5.41691</v>
      </c>
      <c r="F24" s="22" t="n">
        <f aca="false">Hypothèses!$B$63*F22</f>
        <v>7.35923</v>
      </c>
      <c r="G24" s="22" t="n">
        <f aca="false">Hypothèses!$B$63*G22</f>
        <v>2.00668</v>
      </c>
      <c r="H24" s="22" t="n">
        <f aca="false">Hypothèses!$B$63*H22</f>
        <v>7.0049</v>
      </c>
      <c r="I24" s="22" t="n">
        <f aca="false">Hypothèses!$B$63*I22</f>
        <v>12.95558</v>
      </c>
      <c r="J24" s="22" t="n">
        <f aca="false">Hypothèses!$B$63*J22</f>
        <v>17.87516</v>
      </c>
    </row>
    <row r="25" customFormat="false" ht="15" hidden="false" customHeight="false" outlineLevel="0" collapsed="false">
      <c r="A25" s="23" t="s">
        <v>203</v>
      </c>
      <c r="C25" s="22" t="n">
        <f aca="false">C23+C24</f>
        <v>25.88483</v>
      </c>
      <c r="D25" s="22" t="n">
        <f aca="false">D23+D24</f>
        <v>27.98901</v>
      </c>
      <c r="E25" s="22" t="n">
        <f aca="false">E23+E24</f>
        <v>27.41691</v>
      </c>
      <c r="F25" s="22" t="n">
        <f aca="false">F23+F24</f>
        <v>26.35923</v>
      </c>
      <c r="G25" s="22" t="n">
        <f aca="false">G23+G24</f>
        <v>27.00668</v>
      </c>
      <c r="H25" s="22" t="n">
        <f aca="false">H23+H24</f>
        <v>32.0049</v>
      </c>
      <c r="I25" s="22" t="n">
        <f aca="false">I23+I24</f>
        <v>34.95558</v>
      </c>
      <c r="J25" s="22" t="n">
        <f aca="false">J23+J24</f>
        <v>36.87516</v>
      </c>
    </row>
    <row r="26" customFormat="false" ht="15" hidden="false" customHeight="false" outlineLevel="0" collapsed="false">
      <c r="A26" s="23" t="s">
        <v>204</v>
      </c>
      <c r="C26" s="22" t="n">
        <f aca="false">C22-C25</f>
        <v>-17.03653</v>
      </c>
      <c r="D26" s="22" t="n">
        <f aca="false">D22-D25</f>
        <v>1.90109</v>
      </c>
      <c r="E26" s="22" t="n">
        <f aca="false">E22-E25</f>
        <v>26.75219</v>
      </c>
      <c r="F26" s="22" t="n">
        <f aca="false">F22-F25</f>
        <v>47.23307</v>
      </c>
      <c r="G26" s="22" t="n">
        <f aca="false">G22-G25</f>
        <v>-6.93988</v>
      </c>
      <c r="H26" s="22" t="n">
        <f aca="false">H22-H25</f>
        <v>38.0441</v>
      </c>
      <c r="I26" s="22" t="n">
        <f aca="false">I22-I25</f>
        <v>94.60022</v>
      </c>
      <c r="J26" s="22" t="n">
        <f aca="false">J22-J25</f>
        <v>141.87644</v>
      </c>
    </row>
    <row r="27" customFormat="false" ht="15" hidden="false" customHeight="false" outlineLevel="0" collapsed="false">
      <c r="A27" s="23" t="s">
        <v>205</v>
      </c>
      <c r="C27" s="22" t="n">
        <f aca="false">C26</f>
        <v>-17.03653</v>
      </c>
      <c r="D27" s="22" t="n">
        <f aca="false">C27+D26</f>
        <v>-15.13544</v>
      </c>
      <c r="E27" s="22" t="n">
        <f aca="false">D27+E26</f>
        <v>11.61675</v>
      </c>
      <c r="F27" s="22" t="n">
        <f aca="false">E27+F26</f>
        <v>58.84982</v>
      </c>
      <c r="G27" s="22" t="n">
        <f aca="false">G26</f>
        <v>-6.93988</v>
      </c>
      <c r="H27" s="22" t="n">
        <f aca="false">G27+H26</f>
        <v>31.10422</v>
      </c>
      <c r="I27" s="22" t="n">
        <f aca="false">H27+I26</f>
        <v>125.70444</v>
      </c>
      <c r="J27" s="22" t="n">
        <f aca="false">I27+J26</f>
        <v>267.58088</v>
      </c>
    </row>
    <row r="29" customFormat="false" ht="15" hidden="false" customHeight="false" outlineLevel="0" collapsed="false">
      <c r="A29" s="23" t="s">
        <v>206</v>
      </c>
      <c r="B29" s="7" t="s">
        <v>207</v>
      </c>
      <c r="C29" s="27" t="n">
        <f aca="false">IFERROR(INDEX({2027,2028,2029,2030},MATCH(TRUE(),INDEX(C27:F27&gt;0,0),0)),"au-delà de 2030")</f>
        <v>2029</v>
      </c>
      <c r="F29" s="7" t="s">
        <v>208</v>
      </c>
      <c r="G29" s="27" t="n">
        <f aca="false">IFERROR(INDEX({2027,2028,2029,2030},MATCH(TRUE(),INDEX(G27:J27&gt;0,0),0)),"au-delà de 2030")</f>
        <v>2028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209</v>
      </c>
    </row>
    <row r="3" customFormat="false" ht="15" hidden="false" customHeight="false" outlineLevel="0" collapsed="false">
      <c r="A3" s="7" t="s">
        <v>210</v>
      </c>
    </row>
    <row r="4" customFormat="false" ht="15" hidden="false" customHeight="false" outlineLevel="0" collapsed="false">
      <c r="A4" s="7" t="s">
        <v>211</v>
      </c>
      <c r="B4" s="22" t="n">
        <f aca="false">(Résultats!B8+Résultats!C8)/2</f>
        <v>139.643</v>
      </c>
    </row>
    <row r="5" customFormat="false" ht="15" hidden="false" customHeight="false" outlineLevel="0" collapsed="false">
      <c r="A5" s="7" t="s">
        <v>212</v>
      </c>
      <c r="B5" s="22" t="n">
        <f aca="false">(Résultats!B5+Résultats!C5)/2</f>
        <v>73.049</v>
      </c>
    </row>
    <row r="6" customFormat="false" ht="15" hidden="false" customHeight="false" outlineLevel="0" collapsed="false">
      <c r="A6" s="7" t="s">
        <v>213</v>
      </c>
      <c r="B6" s="22" t="n">
        <f aca="false">(Résultats!B4+Résultats!C4)/2</f>
        <v>58.864</v>
      </c>
    </row>
    <row r="7" customFormat="false" ht="15" hidden="false" customHeight="false" outlineLevel="0" collapsed="false">
      <c r="A7" s="7" t="s">
        <v>214</v>
      </c>
      <c r="B7" s="22" t="n">
        <f aca="false">SUM(Hypothèses!$E$58:$E$62)</f>
        <v>19</v>
      </c>
    </row>
    <row r="8" customFormat="false" ht="15" hidden="false" customHeight="false" outlineLevel="0" collapsed="false">
      <c r="A8" s="23" t="s">
        <v>215</v>
      </c>
      <c r="B8" s="22" t="n">
        <f aca="false">B4-B7-Hypothèses!$B$63*B4</f>
        <v>106.6787</v>
      </c>
    </row>
    <row r="10" customFormat="false" ht="15" hidden="false" customHeight="false" outlineLevel="0" collapsed="false">
      <c r="A10" s="13" t="s">
        <v>216</v>
      </c>
      <c r="B10" s="13" t="s">
        <v>217</v>
      </c>
      <c r="C10" s="13" t="s">
        <v>218</v>
      </c>
      <c r="D10" s="13" t="s">
        <v>219</v>
      </c>
    </row>
    <row r="11" customFormat="false" ht="15" hidden="false" customHeight="false" outlineLevel="0" collapsed="false">
      <c r="A11" s="7" t="s">
        <v>220</v>
      </c>
      <c r="B11" s="22" t="n">
        <f aca="false">B4*0.7-B7-Hypothèses!$B$63*B4*0.7</f>
        <v>68.97509</v>
      </c>
      <c r="C11" s="22" t="n">
        <f aca="false">B4*1.3-B7-Hypothèses!$B$63*B4*1.3</f>
        <v>144.38231</v>
      </c>
      <c r="D11" s="5" t="s">
        <v>221</v>
      </c>
    </row>
    <row r="12" customFormat="false" ht="15" hidden="false" customHeight="false" outlineLevel="0" collapsed="false">
      <c r="A12" s="7" t="s">
        <v>222</v>
      </c>
      <c r="B12" s="22" t="n">
        <f aca="false">(B4-0.5*B5)-B7-Hypothèses!$B$63*(B4-0.5*B5)</f>
        <v>73.80665</v>
      </c>
      <c r="C12" s="22" t="n">
        <f aca="false">B8</f>
        <v>106.6787</v>
      </c>
      <c r="D12" s="5" t="s">
        <v>223</v>
      </c>
    </row>
    <row r="13" customFormat="false" ht="15" hidden="false" customHeight="false" outlineLevel="0" collapsed="false">
      <c r="A13" s="7" t="s">
        <v>224</v>
      </c>
      <c r="B13" s="22" t="n">
        <f aca="false">B8-(Résultats!C4-Résultats!B4)/2</f>
        <v>77.6217</v>
      </c>
      <c r="C13" s="22" t="n">
        <f aca="false">B8+(Résultats!C4-Résultats!B4)/2</f>
        <v>135.7357</v>
      </c>
      <c r="D13" s="5" t="s">
        <v>225</v>
      </c>
    </row>
    <row r="14" customFormat="false" ht="15" hidden="false" customHeight="false" outlineLevel="0" collapsed="false">
      <c r="A14" s="7" t="s">
        <v>226</v>
      </c>
      <c r="B14" s="22" t="n">
        <f aca="false">B4-B7*1.4-Hypothèses!$B$63*B4</f>
        <v>99.0787</v>
      </c>
      <c r="C14" s="22" t="n">
        <f aca="false">B4-B7*0.8-Hypothèses!$B$63*B4</f>
        <v>110.4787</v>
      </c>
      <c r="D14" s="5" t="s">
        <v>227</v>
      </c>
    </row>
    <row r="15" customFormat="false" ht="15" hidden="false" customHeight="false" outlineLevel="0" collapsed="false">
      <c r="A15" s="7" t="s">
        <v>228</v>
      </c>
      <c r="B15" s="22" t="n">
        <f aca="false">B8-(Résultats!C5-Résultats!B5)/2</f>
        <v>80.7027</v>
      </c>
      <c r="C15" s="22" t="n">
        <f aca="false">B8+(Résultats!C5-Résultats!B5)/2</f>
        <v>132.6547</v>
      </c>
      <c r="D15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3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86</v>
      </c>
    </row>
    <row r="2" customFormat="false" ht="15" hidden="false" customHeight="false" outlineLevel="0" collapsed="false">
      <c r="A2" s="15" t="s">
        <v>235</v>
      </c>
      <c r="B2" s="15" t="s">
        <v>236</v>
      </c>
      <c r="C2" s="15" t="s">
        <v>237</v>
      </c>
      <c r="D2" s="15" t="s">
        <v>238</v>
      </c>
      <c r="E2" s="15" t="s">
        <v>239</v>
      </c>
      <c r="F2" s="15" t="s">
        <v>103</v>
      </c>
    </row>
    <row r="3" customFormat="false" ht="15" hidden="false" customHeight="false" outlineLevel="0" collapsed="false">
      <c r="A3" s="15" t="s">
        <v>240</v>
      </c>
      <c r="B3" s="15" t="s">
        <v>241</v>
      </c>
      <c r="C3" s="15" t="s">
        <v>242</v>
      </c>
      <c r="D3" s="15" t="s">
        <v>243</v>
      </c>
      <c r="E3" s="15" t="s">
        <v>239</v>
      </c>
      <c r="F3" s="15" t="s">
        <v>103</v>
      </c>
    </row>
    <row r="4" customFormat="false" ht="15" hidden="false" customHeight="false" outlineLevel="0" collapsed="false">
      <c r="A4" s="15" t="s">
        <v>244</v>
      </c>
      <c r="B4" s="15" t="s">
        <v>245</v>
      </c>
      <c r="C4" s="15" t="s">
        <v>246</v>
      </c>
      <c r="D4" s="15" t="s">
        <v>247</v>
      </c>
      <c r="E4" s="15" t="s">
        <v>248</v>
      </c>
      <c r="F4" s="15" t="s">
        <v>249</v>
      </c>
    </row>
    <row r="5" customFormat="false" ht="15" hidden="false" customHeight="false" outlineLevel="0" collapsed="false">
      <c r="A5" s="15" t="s">
        <v>250</v>
      </c>
      <c r="B5" s="15" t="s">
        <v>251</v>
      </c>
      <c r="C5" s="15" t="s">
        <v>238</v>
      </c>
      <c r="D5" s="15" t="s">
        <v>252</v>
      </c>
      <c r="E5" s="15" t="s">
        <v>248</v>
      </c>
      <c r="F5" s="15" t="s">
        <v>110</v>
      </c>
    </row>
    <row r="6" customFormat="false" ht="15" hidden="false" customHeight="false" outlineLevel="0" collapsed="false">
      <c r="A6" s="15" t="s">
        <v>253</v>
      </c>
      <c r="B6" s="15" t="s">
        <v>254</v>
      </c>
      <c r="C6" s="15" t="s">
        <v>237</v>
      </c>
      <c r="D6" s="15" t="s">
        <v>255</v>
      </c>
      <c r="E6" s="15" t="s">
        <v>256</v>
      </c>
      <c r="F6" s="15" t="s">
        <v>114</v>
      </c>
    </row>
    <row r="7" customFormat="false" ht="15" hidden="false" customHeight="false" outlineLevel="0" collapsed="false">
      <c r="A7" s="15" t="s">
        <v>257</v>
      </c>
      <c r="B7" s="15" t="s">
        <v>258</v>
      </c>
      <c r="C7" s="15" t="s">
        <v>259</v>
      </c>
      <c r="D7" s="15" t="s">
        <v>260</v>
      </c>
      <c r="E7" s="15" t="s">
        <v>261</v>
      </c>
      <c r="F7" s="15" t="s">
        <v>130</v>
      </c>
    </row>
    <row r="8" customFormat="false" ht="15" hidden="false" customHeight="false" outlineLevel="0" collapsed="false">
      <c r="A8" s="15" t="s">
        <v>262</v>
      </c>
      <c r="B8" s="15" t="s">
        <v>263</v>
      </c>
      <c r="C8" s="15" t="s">
        <v>264</v>
      </c>
      <c r="D8" s="15" t="s">
        <v>265</v>
      </c>
      <c r="E8" s="15" t="s">
        <v>266</v>
      </c>
      <c r="F8" s="15" t="s">
        <v>135</v>
      </c>
    </row>
    <row r="9" customFormat="false" ht="15" hidden="false" customHeight="false" outlineLevel="0" collapsed="false">
      <c r="A9" s="15" t="s">
        <v>267</v>
      </c>
      <c r="B9" s="15" t="s">
        <v>268</v>
      </c>
      <c r="C9" s="15" t="s">
        <v>269</v>
      </c>
      <c r="D9" s="15" t="s">
        <v>270</v>
      </c>
      <c r="E9" s="15" t="s">
        <v>271</v>
      </c>
      <c r="F9" s="15" t="s">
        <v>152</v>
      </c>
    </row>
    <row r="10" customFormat="false" ht="15" hidden="false" customHeight="false" outlineLevel="0" collapsed="false">
      <c r="A10" s="15" t="s">
        <v>272</v>
      </c>
      <c r="B10" s="15" t="s">
        <v>273</v>
      </c>
      <c r="C10" s="15" t="s">
        <v>274</v>
      </c>
      <c r="D10" s="15" t="s">
        <v>241</v>
      </c>
      <c r="E10" s="15" t="s">
        <v>275</v>
      </c>
      <c r="F10" s="15" t="s">
        <v>122</v>
      </c>
    </row>
    <row r="11" customFormat="false" ht="15" hidden="false" customHeight="false" outlineLevel="0" collapsed="false">
      <c r="A11" s="15" t="s">
        <v>276</v>
      </c>
      <c r="B11" s="15" t="s">
        <v>277</v>
      </c>
      <c r="C11" s="15" t="s">
        <v>278</v>
      </c>
      <c r="D11" s="15" t="s">
        <v>279</v>
      </c>
      <c r="E11" s="15" t="s">
        <v>280</v>
      </c>
      <c r="F11" s="15" t="s">
        <v>281</v>
      </c>
    </row>
    <row r="12" customFormat="false" ht="15" hidden="false" customHeight="false" outlineLevel="0" collapsed="false">
      <c r="A12" s="15" t="s">
        <v>282</v>
      </c>
      <c r="B12" s="15" t="s">
        <v>263</v>
      </c>
      <c r="C12" s="15" t="s">
        <v>283</v>
      </c>
      <c r="D12" s="15" t="s">
        <v>283</v>
      </c>
      <c r="E12" s="15" t="s">
        <v>284</v>
      </c>
      <c r="F12" s="15" t="s">
        <v>285</v>
      </c>
    </row>
    <row r="13" customFormat="false" ht="15" hidden="false" customHeight="false" outlineLevel="0" collapsed="false">
      <c r="A13" s="15" t="s">
        <v>286</v>
      </c>
      <c r="B13" s="15" t="s">
        <v>255</v>
      </c>
      <c r="C13" s="15" t="s">
        <v>287</v>
      </c>
      <c r="D13" s="15" t="s">
        <v>287</v>
      </c>
      <c r="E13" s="15" t="s">
        <v>288</v>
      </c>
      <c r="F13" s="15" t="s">
        <v>285</v>
      </c>
    </row>
    <row r="15" customFormat="false" ht="15" hidden="false" customHeight="false" outlineLevel="0" collapsed="false">
      <c r="A15" s="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13" t="s">
        <v>290</v>
      </c>
      <c r="B1" s="13" t="s">
        <v>88</v>
      </c>
      <c r="C1" s="13" t="s">
        <v>291</v>
      </c>
      <c r="D1" s="13" t="s">
        <v>292</v>
      </c>
      <c r="E1" s="13" t="s">
        <v>293</v>
      </c>
      <c r="F1" s="13" t="s">
        <v>294</v>
      </c>
      <c r="G1" s="13" t="s">
        <v>295</v>
      </c>
      <c r="H1" s="13" t="s">
        <v>296</v>
      </c>
      <c r="I1" s="13" t="s">
        <v>297</v>
      </c>
      <c r="J1" s="13" t="s">
        <v>298</v>
      </c>
      <c r="K1" s="13" t="s">
        <v>299</v>
      </c>
      <c r="L1" s="13" t="s">
        <v>300</v>
      </c>
    </row>
    <row r="2" customFormat="false" ht="15" hidden="false" customHeight="false" outlineLevel="0" collapsed="false">
      <c r="A2" s="7" t="s">
        <v>301</v>
      </c>
      <c r="B2" s="7" t="s">
        <v>302</v>
      </c>
      <c r="C2" s="7" t="s">
        <v>303</v>
      </c>
      <c r="D2" s="7" t="s">
        <v>304</v>
      </c>
      <c r="E2" s="7" t="s">
        <v>135</v>
      </c>
      <c r="F2" s="7" t="s">
        <v>305</v>
      </c>
      <c r="G2" s="7" t="n">
        <v>3</v>
      </c>
      <c r="H2" s="7" t="n">
        <v>4</v>
      </c>
      <c r="I2" s="7" t="s">
        <v>306</v>
      </c>
      <c r="J2" s="7" t="s">
        <v>307</v>
      </c>
      <c r="K2" s="7" t="s">
        <v>308</v>
      </c>
      <c r="L2" s="7" t="s">
        <v>309</v>
      </c>
    </row>
    <row r="3" customFormat="false" ht="15" hidden="false" customHeight="false" outlineLevel="0" collapsed="false">
      <c r="A3" s="7" t="s">
        <v>310</v>
      </c>
      <c r="B3" s="7" t="s">
        <v>302</v>
      </c>
      <c r="C3" s="7" t="s">
        <v>311</v>
      </c>
      <c r="D3" s="7" t="s">
        <v>312</v>
      </c>
      <c r="E3" s="7" t="s">
        <v>135</v>
      </c>
      <c r="F3" s="7" t="s">
        <v>305</v>
      </c>
      <c r="G3" s="7" t="n">
        <v>4</v>
      </c>
      <c r="H3" s="7" t="n">
        <v>3</v>
      </c>
      <c r="I3" s="7" t="s">
        <v>313</v>
      </c>
      <c r="J3" s="7" t="s">
        <v>314</v>
      </c>
      <c r="K3" s="7" t="s">
        <v>315</v>
      </c>
      <c r="L3" s="7"/>
    </row>
    <row r="4" customFormat="false" ht="15" hidden="false" customHeight="false" outlineLevel="0" collapsed="false">
      <c r="A4" s="7" t="s">
        <v>316</v>
      </c>
      <c r="B4" s="7" t="s">
        <v>302</v>
      </c>
      <c r="C4" s="7" t="s">
        <v>317</v>
      </c>
      <c r="D4" s="7" t="s">
        <v>312</v>
      </c>
      <c r="E4" s="7" t="s">
        <v>130</v>
      </c>
      <c r="F4" s="7" t="s">
        <v>305</v>
      </c>
      <c r="G4" s="7" t="n">
        <v>4</v>
      </c>
      <c r="H4" s="7" t="n">
        <v>3</v>
      </c>
      <c r="I4" s="7" t="s">
        <v>318</v>
      </c>
      <c r="J4" s="7" t="s">
        <v>319</v>
      </c>
      <c r="K4" s="7" t="s">
        <v>315</v>
      </c>
      <c r="L4" s="7" t="s">
        <v>320</v>
      </c>
    </row>
    <row r="5" customFormat="false" ht="15" hidden="false" customHeight="false" outlineLevel="0" collapsed="false">
      <c r="A5" s="7" t="s">
        <v>321</v>
      </c>
      <c r="B5" s="7" t="s">
        <v>302</v>
      </c>
      <c r="C5" s="7" t="s">
        <v>303</v>
      </c>
      <c r="D5" s="7" t="s">
        <v>304</v>
      </c>
      <c r="E5" s="7" t="s">
        <v>135</v>
      </c>
      <c r="F5" s="7" t="s">
        <v>305</v>
      </c>
      <c r="G5" s="7" t="n">
        <v>3</v>
      </c>
      <c r="H5" s="7" t="n">
        <v>4</v>
      </c>
      <c r="I5" s="7" t="s">
        <v>322</v>
      </c>
      <c r="J5" s="7" t="s">
        <v>323</v>
      </c>
      <c r="K5" s="7" t="s">
        <v>324</v>
      </c>
      <c r="L5" s="7"/>
    </row>
    <row r="6" customFormat="false" ht="15" hidden="false" customHeight="false" outlineLevel="0" collapsed="false">
      <c r="A6" s="7" t="s">
        <v>325</v>
      </c>
      <c r="B6" s="7" t="s">
        <v>302</v>
      </c>
      <c r="C6" s="7" t="s">
        <v>311</v>
      </c>
      <c r="D6" s="7" t="s">
        <v>312</v>
      </c>
      <c r="E6" s="7" t="s">
        <v>135</v>
      </c>
      <c r="F6" s="7" t="s">
        <v>305</v>
      </c>
      <c r="G6" s="7" t="n">
        <v>5</v>
      </c>
      <c r="H6" s="7" t="n">
        <v>2</v>
      </c>
      <c r="I6" s="7" t="s">
        <v>326</v>
      </c>
      <c r="J6" s="7" t="s">
        <v>327</v>
      </c>
      <c r="K6" s="7" t="s">
        <v>328</v>
      </c>
      <c r="L6" s="7"/>
    </row>
    <row r="7" customFormat="false" ht="15" hidden="false" customHeight="false" outlineLevel="0" collapsed="false">
      <c r="A7" s="7" t="s">
        <v>329</v>
      </c>
      <c r="B7" s="7" t="s">
        <v>302</v>
      </c>
      <c r="C7" s="7" t="s">
        <v>330</v>
      </c>
      <c r="D7" s="7" t="s">
        <v>312</v>
      </c>
      <c r="E7" s="7" t="s">
        <v>135</v>
      </c>
      <c r="F7" s="7" t="s">
        <v>305</v>
      </c>
      <c r="G7" s="7" t="n">
        <v>5</v>
      </c>
      <c r="H7" s="7" t="n">
        <v>3</v>
      </c>
      <c r="I7" s="7" t="s">
        <v>331</v>
      </c>
      <c r="J7" s="7" t="s">
        <v>332</v>
      </c>
      <c r="K7" s="7" t="s">
        <v>333</v>
      </c>
      <c r="L7" s="7" t="s">
        <v>334</v>
      </c>
    </row>
    <row r="8" customFormat="false" ht="15" hidden="false" customHeight="false" outlineLevel="0" collapsed="false">
      <c r="A8" s="7" t="s">
        <v>335</v>
      </c>
      <c r="B8" s="7" t="s">
        <v>302</v>
      </c>
      <c r="C8" s="7" t="s">
        <v>317</v>
      </c>
      <c r="D8" s="7" t="s">
        <v>312</v>
      </c>
      <c r="E8" s="7" t="s">
        <v>135</v>
      </c>
      <c r="F8" s="7" t="s">
        <v>305</v>
      </c>
      <c r="G8" s="7" t="n">
        <v>4</v>
      </c>
      <c r="H8" s="7" t="n">
        <v>3</v>
      </c>
      <c r="I8" s="7" t="s">
        <v>336</v>
      </c>
      <c r="J8" s="7" t="s">
        <v>337</v>
      </c>
      <c r="K8" s="7" t="s">
        <v>338</v>
      </c>
      <c r="L8" s="7"/>
    </row>
    <row r="9" customFormat="false" ht="15" hidden="false" customHeight="false" outlineLevel="0" collapsed="false">
      <c r="A9" s="7" t="s">
        <v>339</v>
      </c>
      <c r="B9" s="7" t="s">
        <v>143</v>
      </c>
      <c r="C9" s="7" t="s">
        <v>317</v>
      </c>
      <c r="D9" s="7" t="s">
        <v>304</v>
      </c>
      <c r="E9" s="7" t="s">
        <v>135</v>
      </c>
      <c r="F9" s="7" t="s">
        <v>305</v>
      </c>
      <c r="G9" s="7" t="n">
        <v>5</v>
      </c>
      <c r="H9" s="7" t="n">
        <v>4</v>
      </c>
      <c r="I9" s="7" t="s">
        <v>340</v>
      </c>
      <c r="J9" s="7" t="s">
        <v>341</v>
      </c>
      <c r="K9" s="7" t="s">
        <v>342</v>
      </c>
      <c r="L9" s="7"/>
    </row>
    <row r="10" customFormat="false" ht="15" hidden="false" customHeight="false" outlineLevel="0" collapsed="false">
      <c r="A10" s="7" t="s">
        <v>343</v>
      </c>
      <c r="B10" s="7" t="s">
        <v>143</v>
      </c>
      <c r="C10" s="7" t="s">
        <v>317</v>
      </c>
      <c r="D10" s="7" t="s">
        <v>304</v>
      </c>
      <c r="E10" s="7" t="s">
        <v>135</v>
      </c>
      <c r="F10" s="7" t="s">
        <v>344</v>
      </c>
      <c r="G10" s="7" t="n">
        <v>4</v>
      </c>
      <c r="H10" s="7" t="n">
        <v>3</v>
      </c>
      <c r="I10" s="7" t="s">
        <v>345</v>
      </c>
      <c r="J10" s="7" t="s">
        <v>341</v>
      </c>
      <c r="K10" s="7" t="s">
        <v>346</v>
      </c>
      <c r="L10" s="7" t="s">
        <v>347</v>
      </c>
    </row>
    <row r="11" customFormat="false" ht="15" hidden="false" customHeight="false" outlineLevel="0" collapsed="false">
      <c r="A11" s="7" t="s">
        <v>348</v>
      </c>
      <c r="B11" s="7" t="s">
        <v>143</v>
      </c>
      <c r="C11" s="7" t="s">
        <v>330</v>
      </c>
      <c r="D11" s="7" t="s">
        <v>304</v>
      </c>
      <c r="E11" s="7" t="s">
        <v>135</v>
      </c>
      <c r="F11" s="7" t="s">
        <v>305</v>
      </c>
      <c r="G11" s="7" t="n">
        <v>5</v>
      </c>
      <c r="H11" s="7" t="n">
        <v>3</v>
      </c>
      <c r="I11" s="7" t="s">
        <v>349</v>
      </c>
      <c r="J11" s="7" t="s">
        <v>350</v>
      </c>
      <c r="K11" s="7" t="s">
        <v>351</v>
      </c>
      <c r="L11" s="7"/>
    </row>
    <row r="12" customFormat="false" ht="15" hidden="false" customHeight="false" outlineLevel="0" collapsed="false">
      <c r="A12" s="7" t="s">
        <v>352</v>
      </c>
      <c r="B12" s="7" t="s">
        <v>143</v>
      </c>
      <c r="C12" s="7" t="s">
        <v>353</v>
      </c>
      <c r="D12" s="7" t="s">
        <v>312</v>
      </c>
      <c r="E12" s="7" t="s">
        <v>139</v>
      </c>
      <c r="F12" s="7" t="s">
        <v>305</v>
      </c>
      <c r="G12" s="7" t="n">
        <v>4</v>
      </c>
      <c r="H12" s="7" t="n">
        <v>3</v>
      </c>
      <c r="I12" s="7" t="s">
        <v>354</v>
      </c>
      <c r="J12" s="7" t="s">
        <v>355</v>
      </c>
      <c r="K12" s="7" t="s">
        <v>356</v>
      </c>
      <c r="L12" s="7"/>
    </row>
    <row r="13" customFormat="false" ht="15" hidden="false" customHeight="false" outlineLevel="0" collapsed="false">
      <c r="A13" s="7" t="s">
        <v>357</v>
      </c>
      <c r="B13" s="7" t="s">
        <v>143</v>
      </c>
      <c r="C13" s="7" t="s">
        <v>317</v>
      </c>
      <c r="D13" s="7" t="s">
        <v>304</v>
      </c>
      <c r="E13" s="7" t="s">
        <v>135</v>
      </c>
      <c r="F13" s="7" t="s">
        <v>305</v>
      </c>
      <c r="G13" s="7" t="n">
        <v>4</v>
      </c>
      <c r="H13" s="7" t="n">
        <v>4</v>
      </c>
      <c r="I13" s="7" t="s">
        <v>358</v>
      </c>
      <c r="J13" s="7" t="s">
        <v>359</v>
      </c>
      <c r="K13" s="7" t="s">
        <v>360</v>
      </c>
      <c r="L13" s="7"/>
    </row>
    <row r="14" customFormat="false" ht="15" hidden="false" customHeight="false" outlineLevel="0" collapsed="false">
      <c r="A14" s="7" t="s">
        <v>361</v>
      </c>
      <c r="B14" s="7" t="s">
        <v>143</v>
      </c>
      <c r="C14" s="7" t="s">
        <v>317</v>
      </c>
      <c r="D14" s="7" t="s">
        <v>304</v>
      </c>
      <c r="E14" s="7" t="s">
        <v>135</v>
      </c>
      <c r="F14" s="7" t="s">
        <v>305</v>
      </c>
      <c r="G14" s="7" t="n">
        <v>3</v>
      </c>
      <c r="H14" s="7" t="n">
        <v>3</v>
      </c>
      <c r="I14" s="7" t="s">
        <v>362</v>
      </c>
      <c r="J14" s="7" t="s">
        <v>363</v>
      </c>
      <c r="K14" s="7" t="s">
        <v>342</v>
      </c>
      <c r="L14" s="7"/>
    </row>
    <row r="15" customFormat="false" ht="15" hidden="false" customHeight="false" outlineLevel="0" collapsed="false">
      <c r="A15" s="7" t="s">
        <v>364</v>
      </c>
      <c r="B15" s="7" t="s">
        <v>143</v>
      </c>
      <c r="C15" s="7" t="s">
        <v>317</v>
      </c>
      <c r="D15" s="7" t="s">
        <v>304</v>
      </c>
      <c r="E15" s="7" t="s">
        <v>135</v>
      </c>
      <c r="F15" s="7" t="s">
        <v>305</v>
      </c>
      <c r="G15" s="7" t="n">
        <v>4</v>
      </c>
      <c r="H15" s="7" t="n">
        <v>3</v>
      </c>
      <c r="I15" s="7" t="s">
        <v>365</v>
      </c>
      <c r="J15" s="7" t="s">
        <v>366</v>
      </c>
      <c r="K15" s="7" t="s">
        <v>342</v>
      </c>
      <c r="L15" s="7"/>
    </row>
    <row r="16" customFormat="false" ht="15" hidden="false" customHeight="false" outlineLevel="0" collapsed="false">
      <c r="A16" s="7" t="s">
        <v>367</v>
      </c>
      <c r="B16" s="7" t="s">
        <v>143</v>
      </c>
      <c r="C16" s="7" t="s">
        <v>317</v>
      </c>
      <c r="D16" s="7" t="s">
        <v>304</v>
      </c>
      <c r="E16" s="7" t="s">
        <v>135</v>
      </c>
      <c r="F16" s="7" t="s">
        <v>305</v>
      </c>
      <c r="G16" s="7" t="n">
        <v>4</v>
      </c>
      <c r="H16" s="7" t="n">
        <v>3</v>
      </c>
      <c r="I16" s="7" t="s">
        <v>368</v>
      </c>
      <c r="J16" s="7" t="s">
        <v>363</v>
      </c>
      <c r="K16" s="7" t="s">
        <v>360</v>
      </c>
      <c r="L16" s="7"/>
    </row>
    <row r="17" customFormat="false" ht="15" hidden="false" customHeight="false" outlineLevel="0" collapsed="false">
      <c r="A17" s="7" t="s">
        <v>369</v>
      </c>
      <c r="B17" s="7" t="s">
        <v>143</v>
      </c>
      <c r="C17" s="7" t="s">
        <v>353</v>
      </c>
      <c r="D17" s="7" t="s">
        <v>304</v>
      </c>
      <c r="E17" s="7" t="s">
        <v>139</v>
      </c>
      <c r="F17" s="7" t="s">
        <v>305</v>
      </c>
      <c r="G17" s="7" t="n">
        <v>4</v>
      </c>
      <c r="H17" s="7" t="n">
        <v>4</v>
      </c>
      <c r="I17" s="7" t="s">
        <v>370</v>
      </c>
      <c r="J17" s="7" t="s">
        <v>371</v>
      </c>
      <c r="K17" s="7" t="s">
        <v>346</v>
      </c>
      <c r="L17" s="7"/>
    </row>
    <row r="18" customFormat="false" ht="15" hidden="false" customHeight="false" outlineLevel="0" collapsed="false">
      <c r="A18" s="7" t="s">
        <v>372</v>
      </c>
      <c r="B18" s="7" t="s">
        <v>143</v>
      </c>
      <c r="C18" s="7" t="s">
        <v>317</v>
      </c>
      <c r="D18" s="7" t="s">
        <v>304</v>
      </c>
      <c r="E18" s="7" t="s">
        <v>135</v>
      </c>
      <c r="F18" s="7" t="s">
        <v>305</v>
      </c>
      <c r="G18" s="7" t="n">
        <v>3</v>
      </c>
      <c r="H18" s="7" t="n">
        <v>4</v>
      </c>
      <c r="I18" s="7" t="s">
        <v>373</v>
      </c>
      <c r="J18" s="7" t="s">
        <v>374</v>
      </c>
      <c r="K18" s="7" t="s">
        <v>375</v>
      </c>
      <c r="L18" s="7" t="s">
        <v>376</v>
      </c>
    </row>
    <row r="19" customFormat="false" ht="15" hidden="false" customHeight="false" outlineLevel="0" collapsed="false">
      <c r="A19" s="7" t="s">
        <v>377</v>
      </c>
      <c r="B19" s="7" t="s">
        <v>143</v>
      </c>
      <c r="C19" s="7" t="s">
        <v>303</v>
      </c>
      <c r="D19" s="7" t="s">
        <v>304</v>
      </c>
      <c r="E19" s="7" t="s">
        <v>135</v>
      </c>
      <c r="F19" s="7" t="s">
        <v>305</v>
      </c>
      <c r="G19" s="7" t="n">
        <v>3</v>
      </c>
      <c r="H19" s="7" t="n">
        <v>5</v>
      </c>
      <c r="I19" s="7" t="s">
        <v>378</v>
      </c>
      <c r="J19" s="7" t="s">
        <v>379</v>
      </c>
      <c r="K19" s="7" t="s">
        <v>380</v>
      </c>
      <c r="L19" s="7"/>
    </row>
    <row r="20" customFormat="false" ht="15" hidden="false" customHeight="false" outlineLevel="0" collapsed="false">
      <c r="A20" s="7" t="s">
        <v>381</v>
      </c>
      <c r="B20" s="7" t="s">
        <v>143</v>
      </c>
      <c r="C20" s="7" t="s">
        <v>311</v>
      </c>
      <c r="D20" s="7" t="s">
        <v>312</v>
      </c>
      <c r="E20" s="7" t="s">
        <v>135</v>
      </c>
      <c r="F20" s="7" t="s">
        <v>305</v>
      </c>
      <c r="G20" s="7" t="n">
        <v>5</v>
      </c>
      <c r="H20" s="7" t="n">
        <v>2</v>
      </c>
      <c r="I20" s="7" t="s">
        <v>382</v>
      </c>
      <c r="J20" s="7" t="s">
        <v>383</v>
      </c>
      <c r="K20" s="7" t="s">
        <v>338</v>
      </c>
      <c r="L20" s="7"/>
    </row>
    <row r="21" customFormat="false" ht="15" hidden="false" customHeight="false" outlineLevel="0" collapsed="false">
      <c r="A21" s="7" t="s">
        <v>384</v>
      </c>
      <c r="B21" s="7" t="s">
        <v>143</v>
      </c>
      <c r="C21" s="7" t="s">
        <v>317</v>
      </c>
      <c r="D21" s="7" t="s">
        <v>304</v>
      </c>
      <c r="E21" s="7" t="s">
        <v>135</v>
      </c>
      <c r="F21" s="7" t="s">
        <v>305</v>
      </c>
      <c r="G21" s="7" t="n">
        <v>4</v>
      </c>
      <c r="H21" s="7" t="n">
        <v>3</v>
      </c>
      <c r="I21" s="7" t="s">
        <v>385</v>
      </c>
      <c r="J21" s="7" t="s">
        <v>341</v>
      </c>
      <c r="K21" s="7" t="s">
        <v>386</v>
      </c>
      <c r="L21" s="7"/>
    </row>
    <row r="22" customFormat="false" ht="15" hidden="false" customHeight="false" outlineLevel="0" collapsed="false">
      <c r="A22" s="7" t="s">
        <v>387</v>
      </c>
      <c r="B22" s="7" t="s">
        <v>143</v>
      </c>
      <c r="C22" s="7" t="s">
        <v>317</v>
      </c>
      <c r="D22" s="7" t="s">
        <v>304</v>
      </c>
      <c r="E22" s="7" t="s">
        <v>135</v>
      </c>
      <c r="F22" s="7" t="s">
        <v>305</v>
      </c>
      <c r="G22" s="7" t="n">
        <v>4</v>
      </c>
      <c r="H22" s="7" t="n">
        <v>3</v>
      </c>
      <c r="I22" s="7" t="s">
        <v>388</v>
      </c>
      <c r="J22" s="7" t="s">
        <v>389</v>
      </c>
      <c r="K22" s="7" t="s">
        <v>390</v>
      </c>
      <c r="L22" s="7"/>
    </row>
    <row r="23" customFormat="false" ht="15" hidden="false" customHeight="false" outlineLevel="0" collapsed="false">
      <c r="A23" s="7" t="s">
        <v>391</v>
      </c>
      <c r="B23" s="7" t="s">
        <v>119</v>
      </c>
      <c r="C23" s="7" t="s">
        <v>317</v>
      </c>
      <c r="D23" s="7" t="s">
        <v>304</v>
      </c>
      <c r="E23" s="7" t="s">
        <v>135</v>
      </c>
      <c r="F23" s="7" t="s">
        <v>305</v>
      </c>
      <c r="G23" s="7" t="n">
        <v>4</v>
      </c>
      <c r="H23" s="7" t="n">
        <v>4</v>
      </c>
      <c r="I23" s="7" t="s">
        <v>392</v>
      </c>
      <c r="J23" s="7" t="s">
        <v>393</v>
      </c>
      <c r="K23" s="7" t="s">
        <v>315</v>
      </c>
      <c r="L23" s="7"/>
    </row>
    <row r="24" customFormat="false" ht="15" hidden="false" customHeight="false" outlineLevel="0" collapsed="false">
      <c r="A24" s="7" t="s">
        <v>394</v>
      </c>
      <c r="B24" s="7" t="s">
        <v>119</v>
      </c>
      <c r="C24" s="7" t="s">
        <v>317</v>
      </c>
      <c r="D24" s="7" t="s">
        <v>304</v>
      </c>
      <c r="E24" s="7" t="s">
        <v>139</v>
      </c>
      <c r="F24" s="7" t="s">
        <v>305</v>
      </c>
      <c r="G24" s="7" t="n">
        <v>4</v>
      </c>
      <c r="H24" s="7" t="n">
        <v>4</v>
      </c>
      <c r="I24" s="7" t="s">
        <v>395</v>
      </c>
      <c r="J24" s="7" t="s">
        <v>396</v>
      </c>
      <c r="K24" s="7" t="s">
        <v>397</v>
      </c>
      <c r="L24" s="7"/>
    </row>
    <row r="25" customFormat="false" ht="15" hidden="false" customHeight="false" outlineLevel="0" collapsed="false">
      <c r="A25" s="7" t="s">
        <v>398</v>
      </c>
      <c r="B25" s="7" t="s">
        <v>119</v>
      </c>
      <c r="C25" s="7" t="s">
        <v>303</v>
      </c>
      <c r="D25" s="7" t="s">
        <v>304</v>
      </c>
      <c r="E25" s="7" t="s">
        <v>135</v>
      </c>
      <c r="F25" s="7" t="s">
        <v>305</v>
      </c>
      <c r="G25" s="7" t="n">
        <v>4</v>
      </c>
      <c r="H25" s="7" t="n">
        <v>4</v>
      </c>
      <c r="I25" s="7" t="s">
        <v>399</v>
      </c>
      <c r="J25" s="7" t="s">
        <v>400</v>
      </c>
      <c r="K25" s="7" t="s">
        <v>401</v>
      </c>
      <c r="L25" s="7"/>
    </row>
    <row r="26" customFormat="false" ht="15" hidden="false" customHeight="false" outlineLevel="0" collapsed="false">
      <c r="A26" s="7" t="s">
        <v>402</v>
      </c>
      <c r="B26" s="7" t="s">
        <v>119</v>
      </c>
      <c r="C26" s="7" t="s">
        <v>353</v>
      </c>
      <c r="D26" s="7" t="s">
        <v>304</v>
      </c>
      <c r="E26" s="7" t="s">
        <v>139</v>
      </c>
      <c r="F26" s="7" t="s">
        <v>403</v>
      </c>
      <c r="G26" s="7" t="n">
        <v>4</v>
      </c>
      <c r="H26" s="7" t="n">
        <v>4</v>
      </c>
      <c r="I26" s="7" t="s">
        <v>404</v>
      </c>
      <c r="J26" s="7" t="s">
        <v>405</v>
      </c>
      <c r="K26" s="7" t="s">
        <v>406</v>
      </c>
      <c r="L26" s="7"/>
    </row>
    <row r="27" customFormat="false" ht="15" hidden="false" customHeight="false" outlineLevel="0" collapsed="false">
      <c r="A27" s="7" t="s">
        <v>407</v>
      </c>
      <c r="B27" s="7" t="s">
        <v>119</v>
      </c>
      <c r="C27" s="7" t="s">
        <v>303</v>
      </c>
      <c r="D27" s="7" t="s">
        <v>304</v>
      </c>
      <c r="E27" s="7" t="s">
        <v>135</v>
      </c>
      <c r="F27" s="7" t="s">
        <v>403</v>
      </c>
      <c r="G27" s="7" t="n">
        <v>3</v>
      </c>
      <c r="H27" s="7" t="n">
        <v>5</v>
      </c>
      <c r="I27" s="7" t="s">
        <v>408</v>
      </c>
      <c r="J27" s="7" t="s">
        <v>409</v>
      </c>
      <c r="K27" s="7" t="s">
        <v>406</v>
      </c>
      <c r="L27" s="7"/>
    </row>
    <row r="28" customFormat="false" ht="15" hidden="false" customHeight="false" outlineLevel="0" collapsed="false">
      <c r="A28" s="7" t="s">
        <v>410</v>
      </c>
      <c r="B28" s="7" t="s">
        <v>119</v>
      </c>
      <c r="C28" s="7" t="s">
        <v>303</v>
      </c>
      <c r="D28" s="7" t="s">
        <v>304</v>
      </c>
      <c r="E28" s="7" t="s">
        <v>139</v>
      </c>
      <c r="F28" s="7" t="s">
        <v>305</v>
      </c>
      <c r="G28" s="7" t="n">
        <v>3</v>
      </c>
      <c r="H28" s="7" t="n">
        <v>4</v>
      </c>
      <c r="I28" s="7" t="s">
        <v>411</v>
      </c>
      <c r="J28" s="7" t="s">
        <v>323</v>
      </c>
      <c r="K28" s="7" t="s">
        <v>375</v>
      </c>
      <c r="L28" s="7"/>
    </row>
    <row r="29" customFormat="false" ht="15" hidden="false" customHeight="false" outlineLevel="0" collapsed="false">
      <c r="A29" s="7" t="s">
        <v>412</v>
      </c>
      <c r="B29" s="7" t="s">
        <v>119</v>
      </c>
      <c r="C29" s="7" t="s">
        <v>330</v>
      </c>
      <c r="D29" s="7" t="s">
        <v>304</v>
      </c>
      <c r="E29" s="7" t="s">
        <v>135</v>
      </c>
      <c r="F29" s="7" t="s">
        <v>305</v>
      </c>
      <c r="G29" s="7" t="n">
        <v>3</v>
      </c>
      <c r="H29" s="7" t="n">
        <v>4</v>
      </c>
      <c r="I29" s="7" t="s">
        <v>413</v>
      </c>
      <c r="J29" s="7" t="s">
        <v>414</v>
      </c>
      <c r="K29" s="7" t="s">
        <v>406</v>
      </c>
      <c r="L29" s="7"/>
    </row>
    <row r="30" customFormat="false" ht="15" hidden="false" customHeight="false" outlineLevel="0" collapsed="false">
      <c r="A30" s="7" t="s">
        <v>415</v>
      </c>
      <c r="B30" s="7" t="s">
        <v>119</v>
      </c>
      <c r="C30" s="7" t="s">
        <v>353</v>
      </c>
      <c r="D30" s="7" t="s">
        <v>312</v>
      </c>
      <c r="E30" s="7" t="s">
        <v>139</v>
      </c>
      <c r="F30" s="7" t="s">
        <v>403</v>
      </c>
      <c r="G30" s="7" t="n">
        <v>4</v>
      </c>
      <c r="H30" s="7" t="n">
        <v>3</v>
      </c>
      <c r="I30" s="7" t="s">
        <v>416</v>
      </c>
      <c r="J30" s="7" t="s">
        <v>417</v>
      </c>
      <c r="K30" s="7" t="s">
        <v>406</v>
      </c>
      <c r="L30" s="7"/>
    </row>
    <row r="31" customFormat="false" ht="15" hidden="false" customHeight="false" outlineLevel="0" collapsed="false">
      <c r="A31" s="7" t="s">
        <v>418</v>
      </c>
      <c r="B31" s="7" t="s">
        <v>119</v>
      </c>
      <c r="C31" s="7" t="s">
        <v>317</v>
      </c>
      <c r="D31" s="7" t="s">
        <v>304</v>
      </c>
      <c r="E31" s="7" t="s">
        <v>135</v>
      </c>
      <c r="F31" s="7" t="s">
        <v>305</v>
      </c>
      <c r="G31" s="7" t="n">
        <v>3</v>
      </c>
      <c r="H31" s="7" t="n">
        <v>4</v>
      </c>
      <c r="I31" s="7" t="s">
        <v>419</v>
      </c>
      <c r="J31" s="7" t="s">
        <v>420</v>
      </c>
      <c r="K31" s="7" t="s">
        <v>406</v>
      </c>
      <c r="L31" s="7"/>
    </row>
    <row r="32" customFormat="false" ht="15" hidden="false" customHeight="false" outlineLevel="0" collapsed="false">
      <c r="A32" s="7" t="s">
        <v>421</v>
      </c>
      <c r="B32" s="7" t="s">
        <v>119</v>
      </c>
      <c r="C32" s="7" t="s">
        <v>353</v>
      </c>
      <c r="D32" s="7" t="s">
        <v>422</v>
      </c>
      <c r="E32" s="7" t="s">
        <v>139</v>
      </c>
      <c r="F32" s="7" t="s">
        <v>403</v>
      </c>
      <c r="G32" s="7" t="n">
        <v>4</v>
      </c>
      <c r="H32" s="7" t="n">
        <v>2</v>
      </c>
      <c r="I32" s="7" t="s">
        <v>423</v>
      </c>
      <c r="J32" s="7" t="s">
        <v>424</v>
      </c>
      <c r="K32" s="7" t="s">
        <v>397</v>
      </c>
      <c r="L32" s="7"/>
    </row>
    <row r="33" customFormat="false" ht="15" hidden="false" customHeight="false" outlineLevel="0" collapsed="false">
      <c r="A33" s="7" t="s">
        <v>425</v>
      </c>
      <c r="B33" s="7" t="s">
        <v>111</v>
      </c>
      <c r="C33" s="7" t="s">
        <v>303</v>
      </c>
      <c r="D33" s="7" t="s">
        <v>304</v>
      </c>
      <c r="E33" s="7" t="s">
        <v>139</v>
      </c>
      <c r="F33" s="7" t="s">
        <v>305</v>
      </c>
      <c r="G33" s="7" t="n">
        <v>5</v>
      </c>
      <c r="H33" s="7" t="n">
        <v>4</v>
      </c>
      <c r="I33" s="7" t="s">
        <v>426</v>
      </c>
      <c r="J33" s="7" t="s">
        <v>427</v>
      </c>
      <c r="K33" s="7" t="s">
        <v>406</v>
      </c>
      <c r="L33" s="7" t="s">
        <v>428</v>
      </c>
    </row>
    <row r="34" customFormat="false" ht="15" hidden="false" customHeight="false" outlineLevel="0" collapsed="false">
      <c r="A34" s="7" t="s">
        <v>429</v>
      </c>
      <c r="B34" s="7" t="s">
        <v>111</v>
      </c>
      <c r="C34" s="7" t="s">
        <v>317</v>
      </c>
      <c r="D34" s="7" t="s">
        <v>304</v>
      </c>
      <c r="E34" s="7" t="s">
        <v>139</v>
      </c>
      <c r="F34" s="7" t="s">
        <v>305</v>
      </c>
      <c r="G34" s="7" t="n">
        <v>4</v>
      </c>
      <c r="H34" s="7" t="n">
        <v>4</v>
      </c>
      <c r="I34" s="7" t="s">
        <v>430</v>
      </c>
      <c r="J34" s="7" t="s">
        <v>431</v>
      </c>
      <c r="K34" s="7" t="s">
        <v>338</v>
      </c>
      <c r="L34" s="7"/>
    </row>
    <row r="35" customFormat="false" ht="15" hidden="false" customHeight="false" outlineLevel="0" collapsed="false">
      <c r="A35" s="7" t="s">
        <v>432</v>
      </c>
      <c r="B35" s="7" t="s">
        <v>111</v>
      </c>
      <c r="C35" s="7" t="s">
        <v>303</v>
      </c>
      <c r="D35" s="7" t="s">
        <v>304</v>
      </c>
      <c r="E35" s="7" t="s">
        <v>135</v>
      </c>
      <c r="F35" s="7" t="s">
        <v>305</v>
      </c>
      <c r="G35" s="7" t="n">
        <v>4</v>
      </c>
      <c r="H35" s="7" t="n">
        <v>4</v>
      </c>
      <c r="I35" s="7" t="s">
        <v>433</v>
      </c>
      <c r="J35" s="7" t="s">
        <v>307</v>
      </c>
      <c r="K35" s="7" t="s">
        <v>342</v>
      </c>
      <c r="L35" s="7" t="s">
        <v>434</v>
      </c>
    </row>
    <row r="36" customFormat="false" ht="15" hidden="false" customHeight="false" outlineLevel="0" collapsed="false">
      <c r="A36" s="7" t="s">
        <v>435</v>
      </c>
      <c r="B36" s="7" t="s">
        <v>111</v>
      </c>
      <c r="C36" s="7" t="s">
        <v>353</v>
      </c>
      <c r="D36" s="7" t="s">
        <v>304</v>
      </c>
      <c r="E36" s="7" t="s">
        <v>139</v>
      </c>
      <c r="F36" s="7" t="s">
        <v>344</v>
      </c>
      <c r="G36" s="7" t="n">
        <v>4</v>
      </c>
      <c r="H36" s="7" t="n">
        <v>3</v>
      </c>
      <c r="I36" s="7" t="s">
        <v>436</v>
      </c>
      <c r="J36" s="7" t="s">
        <v>437</v>
      </c>
      <c r="K36" s="7" t="s">
        <v>438</v>
      </c>
      <c r="L36" s="7" t="s">
        <v>439</v>
      </c>
    </row>
    <row r="37" customFormat="false" ht="15" hidden="false" customHeight="false" outlineLevel="0" collapsed="false">
      <c r="A37" s="7" t="s">
        <v>440</v>
      </c>
      <c r="B37" s="7" t="s">
        <v>111</v>
      </c>
      <c r="C37" s="7" t="s">
        <v>303</v>
      </c>
      <c r="D37" s="7" t="s">
        <v>304</v>
      </c>
      <c r="E37" s="7" t="s">
        <v>135</v>
      </c>
      <c r="F37" s="7" t="s">
        <v>344</v>
      </c>
      <c r="G37" s="7" t="n">
        <v>4</v>
      </c>
      <c r="H37" s="7" t="n">
        <v>3</v>
      </c>
      <c r="I37" s="7" t="s">
        <v>441</v>
      </c>
      <c r="J37" s="7" t="s">
        <v>442</v>
      </c>
      <c r="K37" s="7" t="s">
        <v>443</v>
      </c>
      <c r="L37" s="7" t="s">
        <v>444</v>
      </c>
    </row>
    <row r="38" customFormat="false" ht="15" hidden="false" customHeight="false" outlineLevel="0" collapsed="false">
      <c r="A38" s="7" t="s">
        <v>445</v>
      </c>
      <c r="B38" s="7" t="s">
        <v>111</v>
      </c>
      <c r="C38" s="7" t="s">
        <v>317</v>
      </c>
      <c r="D38" s="7" t="s">
        <v>304</v>
      </c>
      <c r="E38" s="7" t="s">
        <v>135</v>
      </c>
      <c r="F38" s="7" t="s">
        <v>305</v>
      </c>
      <c r="G38" s="7" t="n">
        <v>4</v>
      </c>
      <c r="H38" s="7" t="n">
        <v>3</v>
      </c>
      <c r="I38" s="7" t="s">
        <v>446</v>
      </c>
      <c r="J38" s="7" t="s">
        <v>447</v>
      </c>
      <c r="K38" s="7" t="s">
        <v>448</v>
      </c>
      <c r="L38" s="7"/>
    </row>
    <row r="39" customFormat="false" ht="15" hidden="false" customHeight="false" outlineLevel="0" collapsed="false">
      <c r="A39" s="7" t="s">
        <v>449</v>
      </c>
      <c r="B39" s="7" t="s">
        <v>111</v>
      </c>
      <c r="C39" s="7" t="s">
        <v>353</v>
      </c>
      <c r="D39" s="7" t="s">
        <v>312</v>
      </c>
      <c r="E39" s="7" t="s">
        <v>139</v>
      </c>
      <c r="F39" s="7" t="s">
        <v>305</v>
      </c>
      <c r="G39" s="7" t="n">
        <v>5</v>
      </c>
      <c r="H39" s="7" t="n">
        <v>3</v>
      </c>
      <c r="I39" s="7" t="s">
        <v>450</v>
      </c>
      <c r="J39" s="7" t="s">
        <v>451</v>
      </c>
      <c r="K39" s="7" t="s">
        <v>452</v>
      </c>
      <c r="L39" s="7"/>
    </row>
    <row r="40" customFormat="false" ht="15" hidden="false" customHeight="false" outlineLevel="0" collapsed="false">
      <c r="A40" s="7" t="s">
        <v>453</v>
      </c>
      <c r="B40" s="7" t="s">
        <v>111</v>
      </c>
      <c r="C40" s="7" t="s">
        <v>311</v>
      </c>
      <c r="D40" s="7" t="s">
        <v>304</v>
      </c>
      <c r="E40" s="7" t="s">
        <v>135</v>
      </c>
      <c r="F40" s="7" t="s">
        <v>305</v>
      </c>
      <c r="G40" s="7" t="n">
        <v>4</v>
      </c>
      <c r="H40" s="7" t="n">
        <v>3</v>
      </c>
      <c r="I40" s="7" t="s">
        <v>454</v>
      </c>
      <c r="J40" s="7" t="s">
        <v>455</v>
      </c>
      <c r="K40" s="7" t="s">
        <v>456</v>
      </c>
      <c r="L40" s="7"/>
    </row>
    <row r="41" customFormat="false" ht="15" hidden="false" customHeight="false" outlineLevel="0" collapsed="false">
      <c r="A41" s="7" t="s">
        <v>457</v>
      </c>
      <c r="B41" s="7" t="s">
        <v>111</v>
      </c>
      <c r="C41" s="7" t="s">
        <v>303</v>
      </c>
      <c r="D41" s="7" t="s">
        <v>304</v>
      </c>
      <c r="E41" s="7" t="s">
        <v>135</v>
      </c>
      <c r="F41" s="7" t="s">
        <v>305</v>
      </c>
      <c r="G41" s="7" t="n">
        <v>4</v>
      </c>
      <c r="H41" s="7" t="n">
        <v>4</v>
      </c>
      <c r="I41" s="7" t="s">
        <v>458</v>
      </c>
      <c r="J41" s="7" t="s">
        <v>323</v>
      </c>
      <c r="K41" s="7" t="s">
        <v>346</v>
      </c>
      <c r="L41" s="7"/>
    </row>
    <row r="42" customFormat="false" ht="15" hidden="false" customHeight="false" outlineLevel="0" collapsed="false">
      <c r="A42" s="7" t="s">
        <v>459</v>
      </c>
      <c r="B42" s="7" t="s">
        <v>111</v>
      </c>
      <c r="C42" s="7" t="s">
        <v>353</v>
      </c>
      <c r="D42" s="7" t="s">
        <v>304</v>
      </c>
      <c r="E42" s="7" t="s">
        <v>139</v>
      </c>
      <c r="F42" s="7" t="s">
        <v>305</v>
      </c>
      <c r="G42" s="7" t="n">
        <v>4</v>
      </c>
      <c r="H42" s="7" t="n">
        <v>4</v>
      </c>
      <c r="I42" s="7" t="s">
        <v>460</v>
      </c>
      <c r="J42" s="7" t="s">
        <v>461</v>
      </c>
      <c r="K42" s="7" t="s">
        <v>462</v>
      </c>
      <c r="L42" s="7"/>
    </row>
    <row r="43" customFormat="false" ht="15" hidden="false" customHeight="false" outlineLevel="0" collapsed="false">
      <c r="A43" s="7" t="s">
        <v>463</v>
      </c>
      <c r="B43" s="7" t="s">
        <v>115</v>
      </c>
      <c r="C43" s="7" t="s">
        <v>353</v>
      </c>
      <c r="D43" s="7" t="s">
        <v>304</v>
      </c>
      <c r="E43" s="7" t="s">
        <v>139</v>
      </c>
      <c r="F43" s="7" t="s">
        <v>305</v>
      </c>
      <c r="G43" s="7" t="n">
        <v>4</v>
      </c>
      <c r="H43" s="7" t="n">
        <v>4</v>
      </c>
      <c r="I43" s="7" t="s">
        <v>464</v>
      </c>
      <c r="J43" s="7" t="s">
        <v>465</v>
      </c>
      <c r="K43" s="7" t="s">
        <v>380</v>
      </c>
      <c r="L43" s="7"/>
    </row>
    <row r="44" customFormat="false" ht="15" hidden="false" customHeight="false" outlineLevel="0" collapsed="false">
      <c r="A44" s="7" t="s">
        <v>466</v>
      </c>
      <c r="B44" s="7" t="s">
        <v>115</v>
      </c>
      <c r="C44" s="7" t="s">
        <v>353</v>
      </c>
      <c r="D44" s="7" t="s">
        <v>304</v>
      </c>
      <c r="E44" s="7" t="s">
        <v>139</v>
      </c>
      <c r="F44" s="7" t="s">
        <v>403</v>
      </c>
      <c r="G44" s="7" t="n">
        <v>4</v>
      </c>
      <c r="H44" s="7" t="n">
        <v>4</v>
      </c>
      <c r="I44" s="7" t="s">
        <v>467</v>
      </c>
      <c r="J44" s="7" t="s">
        <v>468</v>
      </c>
      <c r="K44" s="7" t="s">
        <v>469</v>
      </c>
      <c r="L44" s="7" t="s">
        <v>158</v>
      </c>
    </row>
    <row r="45" customFormat="false" ht="15" hidden="false" customHeight="false" outlineLevel="0" collapsed="false">
      <c r="A45" s="7" t="s">
        <v>470</v>
      </c>
      <c r="B45" s="7" t="s">
        <v>115</v>
      </c>
      <c r="C45" s="7" t="s">
        <v>303</v>
      </c>
      <c r="D45" s="7" t="s">
        <v>304</v>
      </c>
      <c r="E45" s="7" t="s">
        <v>135</v>
      </c>
      <c r="F45" s="7" t="s">
        <v>305</v>
      </c>
      <c r="G45" s="7" t="n">
        <v>3</v>
      </c>
      <c r="H45" s="7" t="n">
        <v>5</v>
      </c>
      <c r="I45" s="7" t="s">
        <v>471</v>
      </c>
      <c r="J45" s="7" t="s">
        <v>409</v>
      </c>
      <c r="K45" s="7" t="s">
        <v>380</v>
      </c>
      <c r="L45" s="7"/>
    </row>
    <row r="46" customFormat="false" ht="15" hidden="false" customHeight="false" outlineLevel="0" collapsed="false">
      <c r="A46" s="7" t="s">
        <v>472</v>
      </c>
      <c r="B46" s="7" t="s">
        <v>115</v>
      </c>
      <c r="C46" s="7" t="s">
        <v>317</v>
      </c>
      <c r="D46" s="7" t="s">
        <v>304</v>
      </c>
      <c r="E46" s="7" t="s">
        <v>142</v>
      </c>
      <c r="F46" s="7" t="s">
        <v>305</v>
      </c>
      <c r="G46" s="7" t="n">
        <v>3</v>
      </c>
      <c r="H46" s="7" t="n">
        <v>5</v>
      </c>
      <c r="I46" s="7" t="s">
        <v>473</v>
      </c>
      <c r="J46" s="7" t="s">
        <v>474</v>
      </c>
      <c r="K46" s="7" t="s">
        <v>475</v>
      </c>
      <c r="L46" s="7" t="s">
        <v>476</v>
      </c>
    </row>
    <row r="47" customFormat="false" ht="15" hidden="false" customHeight="false" outlineLevel="0" collapsed="false">
      <c r="A47" s="7" t="s">
        <v>477</v>
      </c>
      <c r="B47" s="7" t="s">
        <v>115</v>
      </c>
      <c r="C47" s="7" t="s">
        <v>353</v>
      </c>
      <c r="D47" s="7" t="s">
        <v>304</v>
      </c>
      <c r="E47" s="7" t="s">
        <v>139</v>
      </c>
      <c r="F47" s="7" t="s">
        <v>305</v>
      </c>
      <c r="G47" s="7" t="n">
        <v>3</v>
      </c>
      <c r="H47" s="7" t="n">
        <v>4</v>
      </c>
      <c r="I47" s="7" t="s">
        <v>478</v>
      </c>
      <c r="J47" s="7" t="s">
        <v>427</v>
      </c>
      <c r="K47" s="7" t="s">
        <v>475</v>
      </c>
      <c r="L47" s="7"/>
    </row>
    <row r="48" customFormat="false" ht="15" hidden="false" customHeight="false" outlineLevel="0" collapsed="false">
      <c r="A48" s="7" t="s">
        <v>479</v>
      </c>
      <c r="B48" s="7" t="s">
        <v>115</v>
      </c>
      <c r="C48" s="7" t="s">
        <v>317</v>
      </c>
      <c r="D48" s="7" t="s">
        <v>304</v>
      </c>
      <c r="E48" s="7" t="s">
        <v>139</v>
      </c>
      <c r="F48" s="7" t="s">
        <v>305</v>
      </c>
      <c r="G48" s="7" t="n">
        <v>3</v>
      </c>
      <c r="H48" s="7" t="n">
        <v>4</v>
      </c>
      <c r="I48" s="7" t="s">
        <v>480</v>
      </c>
      <c r="J48" s="7" t="s">
        <v>393</v>
      </c>
      <c r="K48" s="7" t="s">
        <v>443</v>
      </c>
      <c r="L48" s="7"/>
    </row>
    <row r="49" customFormat="false" ht="15" hidden="false" customHeight="false" outlineLevel="0" collapsed="false">
      <c r="A49" s="7" t="s">
        <v>481</v>
      </c>
      <c r="B49" s="7" t="s">
        <v>115</v>
      </c>
      <c r="C49" s="7" t="s">
        <v>303</v>
      </c>
      <c r="D49" s="7" t="s">
        <v>304</v>
      </c>
      <c r="E49" s="7" t="s">
        <v>135</v>
      </c>
      <c r="F49" s="7" t="s">
        <v>305</v>
      </c>
      <c r="G49" s="7" t="n">
        <v>3</v>
      </c>
      <c r="H49" s="7" t="n">
        <v>5</v>
      </c>
      <c r="I49" s="7" t="s">
        <v>482</v>
      </c>
      <c r="J49" s="7" t="s">
        <v>323</v>
      </c>
      <c r="K49" s="7" t="s">
        <v>483</v>
      </c>
      <c r="L49" s="7"/>
    </row>
    <row r="50" customFormat="false" ht="15" hidden="false" customHeight="false" outlineLevel="0" collapsed="false">
      <c r="A50" s="7" t="s">
        <v>484</v>
      </c>
      <c r="B50" s="7" t="s">
        <v>115</v>
      </c>
      <c r="C50" s="7" t="s">
        <v>353</v>
      </c>
      <c r="D50" s="7" t="s">
        <v>304</v>
      </c>
      <c r="E50" s="7" t="s">
        <v>139</v>
      </c>
      <c r="F50" s="7" t="s">
        <v>305</v>
      </c>
      <c r="G50" s="7" t="n">
        <v>3</v>
      </c>
      <c r="H50" s="7" t="n">
        <v>4</v>
      </c>
      <c r="I50" s="7" t="s">
        <v>485</v>
      </c>
      <c r="J50" s="7" t="s">
        <v>486</v>
      </c>
      <c r="K50" s="7" t="s">
        <v>487</v>
      </c>
      <c r="L50" s="7" t="s">
        <v>488</v>
      </c>
    </row>
    <row r="51" customFormat="false" ht="15" hidden="false" customHeight="false" outlineLevel="0" collapsed="false">
      <c r="A51" s="7" t="s">
        <v>489</v>
      </c>
      <c r="B51" s="7" t="s">
        <v>147</v>
      </c>
      <c r="C51" s="7" t="s">
        <v>353</v>
      </c>
      <c r="D51" s="7" t="s">
        <v>304</v>
      </c>
      <c r="E51" s="7" t="s">
        <v>139</v>
      </c>
      <c r="F51" s="7" t="s">
        <v>305</v>
      </c>
      <c r="G51" s="7" t="n">
        <v>4</v>
      </c>
      <c r="H51" s="7" t="n">
        <v>3</v>
      </c>
      <c r="I51" s="7" t="s">
        <v>490</v>
      </c>
      <c r="J51" s="7" t="s">
        <v>491</v>
      </c>
      <c r="K51" s="7" t="s">
        <v>492</v>
      </c>
      <c r="L51" s="7"/>
    </row>
    <row r="52" customFormat="false" ht="15" hidden="false" customHeight="false" outlineLevel="0" collapsed="false">
      <c r="A52" s="7" t="s">
        <v>493</v>
      </c>
      <c r="B52" s="7" t="s">
        <v>147</v>
      </c>
      <c r="C52" s="7" t="s">
        <v>317</v>
      </c>
      <c r="D52" s="7" t="s">
        <v>304</v>
      </c>
      <c r="E52" s="7" t="s">
        <v>135</v>
      </c>
      <c r="F52" s="7" t="s">
        <v>305</v>
      </c>
      <c r="G52" s="7" t="n">
        <v>3</v>
      </c>
      <c r="H52" s="7" t="n">
        <v>3</v>
      </c>
      <c r="I52" s="7" t="s">
        <v>494</v>
      </c>
      <c r="J52" s="7" t="s">
        <v>495</v>
      </c>
      <c r="K52" s="7" t="s">
        <v>360</v>
      </c>
      <c r="L52" s="7"/>
    </row>
    <row r="53" customFormat="false" ht="15" hidden="false" customHeight="false" outlineLevel="0" collapsed="false">
      <c r="A53" s="7" t="s">
        <v>496</v>
      </c>
      <c r="B53" s="7" t="s">
        <v>147</v>
      </c>
      <c r="C53" s="7" t="s">
        <v>303</v>
      </c>
      <c r="D53" s="7" t="s">
        <v>312</v>
      </c>
      <c r="E53" s="7" t="s">
        <v>135</v>
      </c>
      <c r="F53" s="7" t="s">
        <v>403</v>
      </c>
      <c r="G53" s="7" t="n">
        <v>4</v>
      </c>
      <c r="H53" s="7" t="n">
        <v>3</v>
      </c>
      <c r="I53" s="7" t="s">
        <v>497</v>
      </c>
      <c r="J53" s="7" t="s">
        <v>498</v>
      </c>
      <c r="K53" s="7" t="s">
        <v>492</v>
      </c>
      <c r="L53" s="7"/>
    </row>
    <row r="54" customFormat="false" ht="15" hidden="false" customHeight="false" outlineLevel="0" collapsed="false">
      <c r="A54" s="7" t="s">
        <v>499</v>
      </c>
      <c r="B54" s="7" t="s">
        <v>147</v>
      </c>
      <c r="C54" s="7" t="s">
        <v>317</v>
      </c>
      <c r="D54" s="7" t="s">
        <v>304</v>
      </c>
      <c r="E54" s="7" t="s">
        <v>135</v>
      </c>
      <c r="F54" s="7" t="s">
        <v>305</v>
      </c>
      <c r="G54" s="7" t="n">
        <v>3</v>
      </c>
      <c r="H54" s="7" t="n">
        <v>3</v>
      </c>
      <c r="I54" s="7" t="s">
        <v>500</v>
      </c>
      <c r="J54" s="7" t="s">
        <v>495</v>
      </c>
      <c r="K54" s="7" t="s">
        <v>360</v>
      </c>
      <c r="L54" s="7"/>
    </row>
    <row r="55" customFormat="false" ht="15" hidden="false" customHeight="false" outlineLevel="0" collapsed="false">
      <c r="A55" s="7" t="s">
        <v>501</v>
      </c>
      <c r="B55" s="7" t="s">
        <v>147</v>
      </c>
      <c r="C55" s="7" t="s">
        <v>353</v>
      </c>
      <c r="D55" s="7" t="s">
        <v>312</v>
      </c>
      <c r="E55" s="7" t="s">
        <v>139</v>
      </c>
      <c r="F55" s="7" t="s">
        <v>305</v>
      </c>
      <c r="G55" s="7" t="n">
        <v>4</v>
      </c>
      <c r="H55" s="7" t="n">
        <v>3</v>
      </c>
      <c r="I55" s="7" t="s">
        <v>502</v>
      </c>
      <c r="J55" s="7" t="s">
        <v>503</v>
      </c>
      <c r="K55" s="7" t="s">
        <v>342</v>
      </c>
      <c r="L55" s="7"/>
    </row>
    <row r="56" customFormat="false" ht="15" hidden="false" customHeight="false" outlineLevel="0" collapsed="false">
      <c r="A56" s="7" t="s">
        <v>504</v>
      </c>
      <c r="B56" s="7" t="s">
        <v>147</v>
      </c>
      <c r="C56" s="7" t="s">
        <v>317</v>
      </c>
      <c r="D56" s="7" t="s">
        <v>312</v>
      </c>
      <c r="E56" s="7" t="s">
        <v>135</v>
      </c>
      <c r="F56" s="7" t="s">
        <v>305</v>
      </c>
      <c r="G56" s="7" t="n">
        <v>4</v>
      </c>
      <c r="H56" s="7" t="n">
        <v>3</v>
      </c>
      <c r="I56" s="7" t="s">
        <v>505</v>
      </c>
      <c r="J56" s="7" t="s">
        <v>393</v>
      </c>
      <c r="K56" s="7" t="s">
        <v>346</v>
      </c>
      <c r="L56" s="7"/>
    </row>
    <row r="57" customFormat="false" ht="15" hidden="false" customHeight="false" outlineLevel="0" collapsed="false">
      <c r="A57" s="7" t="s">
        <v>506</v>
      </c>
      <c r="B57" s="7" t="s">
        <v>105</v>
      </c>
      <c r="C57" s="7" t="s">
        <v>353</v>
      </c>
      <c r="D57" s="7" t="s">
        <v>304</v>
      </c>
      <c r="E57" s="7" t="s">
        <v>139</v>
      </c>
      <c r="F57" s="7" t="s">
        <v>403</v>
      </c>
      <c r="G57" s="7" t="n">
        <v>4</v>
      </c>
      <c r="H57" s="7" t="n">
        <v>4</v>
      </c>
      <c r="I57" s="7" t="s">
        <v>507</v>
      </c>
      <c r="J57" s="7" t="s">
        <v>508</v>
      </c>
      <c r="K57" s="7" t="s">
        <v>469</v>
      </c>
      <c r="L57" s="7" t="s">
        <v>509</v>
      </c>
    </row>
    <row r="58" customFormat="false" ht="15" hidden="false" customHeight="false" outlineLevel="0" collapsed="false">
      <c r="A58" s="7" t="s">
        <v>510</v>
      </c>
      <c r="B58" s="7" t="s">
        <v>105</v>
      </c>
      <c r="C58" s="7" t="s">
        <v>317</v>
      </c>
      <c r="D58" s="7" t="s">
        <v>304</v>
      </c>
      <c r="E58" s="7" t="s">
        <v>142</v>
      </c>
      <c r="F58" s="7" t="s">
        <v>305</v>
      </c>
      <c r="G58" s="7" t="n">
        <v>5</v>
      </c>
      <c r="H58" s="7" t="n">
        <v>4</v>
      </c>
      <c r="I58" s="7" t="s">
        <v>511</v>
      </c>
      <c r="J58" s="7" t="s">
        <v>465</v>
      </c>
      <c r="K58" s="7" t="s">
        <v>512</v>
      </c>
      <c r="L58" s="7"/>
    </row>
    <row r="59" customFormat="false" ht="15" hidden="false" customHeight="false" outlineLevel="0" collapsed="false">
      <c r="A59" s="7" t="s">
        <v>513</v>
      </c>
      <c r="B59" s="7" t="s">
        <v>105</v>
      </c>
      <c r="C59" s="7" t="s">
        <v>317</v>
      </c>
      <c r="D59" s="7" t="s">
        <v>304</v>
      </c>
      <c r="E59" s="7" t="s">
        <v>139</v>
      </c>
      <c r="F59" s="7" t="s">
        <v>305</v>
      </c>
      <c r="G59" s="7" t="n">
        <v>4</v>
      </c>
      <c r="H59" s="7" t="n">
        <v>4</v>
      </c>
      <c r="I59" s="7" t="s">
        <v>514</v>
      </c>
      <c r="J59" s="7" t="s">
        <v>515</v>
      </c>
      <c r="K59" s="7" t="s">
        <v>512</v>
      </c>
      <c r="L59" s="7" t="s">
        <v>516</v>
      </c>
    </row>
    <row r="60" customFormat="false" ht="15" hidden="false" customHeight="false" outlineLevel="0" collapsed="false">
      <c r="A60" s="7" t="s">
        <v>517</v>
      </c>
      <c r="B60" s="7" t="s">
        <v>105</v>
      </c>
      <c r="C60" s="7" t="s">
        <v>317</v>
      </c>
      <c r="D60" s="7" t="s">
        <v>304</v>
      </c>
      <c r="E60" s="7" t="s">
        <v>135</v>
      </c>
      <c r="F60" s="7" t="s">
        <v>305</v>
      </c>
      <c r="G60" s="7" t="n">
        <v>4</v>
      </c>
      <c r="H60" s="7" t="n">
        <v>3</v>
      </c>
      <c r="I60" s="7" t="s">
        <v>518</v>
      </c>
      <c r="J60" s="7" t="s">
        <v>519</v>
      </c>
      <c r="K60" s="7" t="s">
        <v>512</v>
      </c>
      <c r="L60" s="7"/>
    </row>
    <row r="61" customFormat="false" ht="15" hidden="false" customHeight="false" outlineLevel="0" collapsed="false">
      <c r="A61" s="7" t="s">
        <v>520</v>
      </c>
      <c r="B61" s="7" t="s">
        <v>105</v>
      </c>
      <c r="C61" s="7" t="s">
        <v>353</v>
      </c>
      <c r="D61" s="7" t="s">
        <v>304</v>
      </c>
      <c r="E61" s="7" t="s">
        <v>142</v>
      </c>
      <c r="F61" s="7" t="s">
        <v>305</v>
      </c>
      <c r="G61" s="7" t="n">
        <v>5</v>
      </c>
      <c r="H61" s="7" t="n">
        <v>3</v>
      </c>
      <c r="I61" s="7" t="s">
        <v>521</v>
      </c>
      <c r="J61" s="7" t="s">
        <v>465</v>
      </c>
      <c r="K61" s="7" t="s">
        <v>380</v>
      </c>
      <c r="L61" s="7" t="s">
        <v>522</v>
      </c>
    </row>
    <row r="62" customFormat="false" ht="15" hidden="false" customHeight="false" outlineLevel="0" collapsed="false">
      <c r="A62" s="7" t="s">
        <v>523</v>
      </c>
      <c r="B62" s="7" t="s">
        <v>105</v>
      </c>
      <c r="C62" s="7" t="s">
        <v>353</v>
      </c>
      <c r="D62" s="7" t="s">
        <v>304</v>
      </c>
      <c r="E62" s="7" t="s">
        <v>139</v>
      </c>
      <c r="F62" s="7" t="s">
        <v>305</v>
      </c>
      <c r="G62" s="7" t="n">
        <v>5</v>
      </c>
      <c r="H62" s="7" t="n">
        <v>3</v>
      </c>
      <c r="I62" s="7" t="s">
        <v>524</v>
      </c>
      <c r="J62" s="7" t="s">
        <v>525</v>
      </c>
      <c r="K62" s="7" t="s">
        <v>526</v>
      </c>
      <c r="L62" s="7" t="s">
        <v>527</v>
      </c>
    </row>
    <row r="63" customFormat="false" ht="15" hidden="false" customHeight="false" outlineLevel="0" collapsed="false">
      <c r="A63" s="7" t="s">
        <v>528</v>
      </c>
      <c r="B63" s="7" t="s">
        <v>105</v>
      </c>
      <c r="C63" s="7" t="s">
        <v>303</v>
      </c>
      <c r="D63" s="7" t="s">
        <v>304</v>
      </c>
      <c r="E63" s="7" t="s">
        <v>135</v>
      </c>
      <c r="F63" s="7" t="s">
        <v>305</v>
      </c>
      <c r="G63" s="7" t="n">
        <v>4</v>
      </c>
      <c r="H63" s="7" t="n">
        <v>5</v>
      </c>
      <c r="I63" s="7" t="s">
        <v>529</v>
      </c>
      <c r="J63" s="7" t="s">
        <v>307</v>
      </c>
      <c r="K63" s="7" t="s">
        <v>380</v>
      </c>
      <c r="L63" s="7" t="s">
        <v>530</v>
      </c>
    </row>
    <row r="64" customFormat="false" ht="15" hidden="false" customHeight="false" outlineLevel="0" collapsed="false">
      <c r="A64" s="7" t="s">
        <v>531</v>
      </c>
      <c r="B64" s="7" t="s">
        <v>105</v>
      </c>
      <c r="C64" s="7" t="s">
        <v>303</v>
      </c>
      <c r="D64" s="7" t="s">
        <v>304</v>
      </c>
      <c r="E64" s="7" t="s">
        <v>135</v>
      </c>
      <c r="F64" s="7" t="s">
        <v>305</v>
      </c>
      <c r="G64" s="7" t="n">
        <v>3</v>
      </c>
      <c r="H64" s="7" t="n">
        <v>5</v>
      </c>
      <c r="I64" s="7" t="s">
        <v>532</v>
      </c>
      <c r="J64" s="7" t="s">
        <v>409</v>
      </c>
      <c r="K64" s="7" t="s">
        <v>469</v>
      </c>
      <c r="L64" s="7" t="s">
        <v>530</v>
      </c>
    </row>
    <row r="65" customFormat="false" ht="15" hidden="false" customHeight="false" outlineLevel="0" collapsed="false">
      <c r="A65" s="7" t="s">
        <v>533</v>
      </c>
      <c r="B65" s="7" t="s">
        <v>105</v>
      </c>
      <c r="C65" s="7" t="s">
        <v>303</v>
      </c>
      <c r="D65" s="7" t="s">
        <v>304</v>
      </c>
      <c r="E65" s="7" t="s">
        <v>135</v>
      </c>
      <c r="F65" s="7" t="s">
        <v>305</v>
      </c>
      <c r="G65" s="7" t="n">
        <v>4</v>
      </c>
      <c r="H65" s="7" t="n">
        <v>4</v>
      </c>
      <c r="I65" s="7" t="s">
        <v>534</v>
      </c>
      <c r="J65" s="7" t="s">
        <v>323</v>
      </c>
      <c r="K65" s="7" t="s">
        <v>448</v>
      </c>
      <c r="L65" s="7"/>
    </row>
    <row r="66" customFormat="false" ht="15" hidden="false" customHeight="false" outlineLevel="0" collapsed="false">
      <c r="A66" s="7" t="s">
        <v>535</v>
      </c>
      <c r="B66" s="7" t="s">
        <v>105</v>
      </c>
      <c r="C66" s="7" t="s">
        <v>317</v>
      </c>
      <c r="D66" s="7" t="s">
        <v>304</v>
      </c>
      <c r="E66" s="7" t="s">
        <v>135</v>
      </c>
      <c r="F66" s="7" t="s">
        <v>305</v>
      </c>
      <c r="G66" s="7" t="n">
        <v>4</v>
      </c>
      <c r="H66" s="7" t="n">
        <v>4</v>
      </c>
      <c r="I66" s="7" t="s">
        <v>536</v>
      </c>
      <c r="J66" s="7" t="s">
        <v>537</v>
      </c>
      <c r="K66" s="7" t="s">
        <v>360</v>
      </c>
      <c r="L66" s="7"/>
    </row>
    <row r="67" customFormat="false" ht="15" hidden="false" customHeight="false" outlineLevel="0" collapsed="false">
      <c r="A67" s="7" t="s">
        <v>538</v>
      </c>
      <c r="B67" s="7" t="s">
        <v>105</v>
      </c>
      <c r="C67" s="7" t="s">
        <v>303</v>
      </c>
      <c r="D67" s="7" t="s">
        <v>312</v>
      </c>
      <c r="E67" s="7" t="s">
        <v>135</v>
      </c>
      <c r="F67" s="7" t="s">
        <v>305</v>
      </c>
      <c r="G67" s="7" t="n">
        <v>5</v>
      </c>
      <c r="H67" s="7" t="n">
        <v>3</v>
      </c>
      <c r="I67" s="7" t="s">
        <v>539</v>
      </c>
      <c r="J67" s="7" t="s">
        <v>540</v>
      </c>
      <c r="K67" s="7" t="s">
        <v>386</v>
      </c>
      <c r="L67" s="7"/>
    </row>
    <row r="68" customFormat="false" ht="15" hidden="false" customHeight="false" outlineLevel="0" collapsed="false">
      <c r="A68" s="7" t="s">
        <v>541</v>
      </c>
      <c r="B68" s="7" t="s">
        <v>105</v>
      </c>
      <c r="C68" s="7" t="s">
        <v>330</v>
      </c>
      <c r="D68" s="7" t="s">
        <v>304</v>
      </c>
      <c r="E68" s="7" t="s">
        <v>139</v>
      </c>
      <c r="F68" s="7" t="s">
        <v>305</v>
      </c>
      <c r="G68" s="7" t="n">
        <v>4</v>
      </c>
      <c r="H68" s="7" t="n">
        <v>4</v>
      </c>
      <c r="I68" s="7" t="s">
        <v>542</v>
      </c>
      <c r="J68" s="7" t="s">
        <v>543</v>
      </c>
      <c r="K68" s="7" t="s">
        <v>492</v>
      </c>
      <c r="L68" s="7"/>
    </row>
    <row r="69" customFormat="false" ht="15" hidden="false" customHeight="false" outlineLevel="0" collapsed="false">
      <c r="A69" s="7" t="s">
        <v>544</v>
      </c>
      <c r="B69" s="7" t="s">
        <v>105</v>
      </c>
      <c r="C69" s="7" t="s">
        <v>353</v>
      </c>
      <c r="D69" s="7" t="s">
        <v>304</v>
      </c>
      <c r="E69" s="7" t="s">
        <v>142</v>
      </c>
      <c r="F69" s="7" t="s">
        <v>305</v>
      </c>
      <c r="G69" s="7" t="n">
        <v>4</v>
      </c>
      <c r="H69" s="7" t="n">
        <v>4</v>
      </c>
      <c r="I69" s="7" t="s">
        <v>545</v>
      </c>
      <c r="J69" s="7" t="s">
        <v>427</v>
      </c>
      <c r="K69" s="7" t="s">
        <v>380</v>
      </c>
      <c r="L69" s="7" t="s">
        <v>546</v>
      </c>
    </row>
    <row r="70" customFormat="false" ht="15" hidden="false" customHeight="false" outlineLevel="0" collapsed="false">
      <c r="A70" s="7" t="s">
        <v>547</v>
      </c>
      <c r="B70" s="7" t="s">
        <v>105</v>
      </c>
      <c r="C70" s="7" t="s">
        <v>353</v>
      </c>
      <c r="D70" s="7" t="s">
        <v>304</v>
      </c>
      <c r="E70" s="7" t="s">
        <v>139</v>
      </c>
      <c r="F70" s="7" t="s">
        <v>305</v>
      </c>
      <c r="G70" s="7" t="n">
        <v>4</v>
      </c>
      <c r="H70" s="7" t="n">
        <v>3</v>
      </c>
      <c r="I70" s="7" t="s">
        <v>548</v>
      </c>
      <c r="J70" s="7" t="s">
        <v>549</v>
      </c>
      <c r="K70" s="7" t="s">
        <v>380</v>
      </c>
      <c r="L70" s="7"/>
    </row>
    <row r="71" customFormat="false" ht="15" hidden="false" customHeight="false" outlineLevel="0" collapsed="false">
      <c r="A71" s="7" t="s">
        <v>550</v>
      </c>
      <c r="B71" s="7" t="s">
        <v>105</v>
      </c>
      <c r="C71" s="7" t="s">
        <v>353</v>
      </c>
      <c r="D71" s="7" t="s">
        <v>304</v>
      </c>
      <c r="E71" s="7" t="s">
        <v>139</v>
      </c>
      <c r="F71" s="7" t="s">
        <v>305</v>
      </c>
      <c r="G71" s="7" t="n">
        <v>4</v>
      </c>
      <c r="H71" s="7" t="n">
        <v>4</v>
      </c>
      <c r="I71" s="7" t="s">
        <v>551</v>
      </c>
      <c r="J71" s="7" t="s">
        <v>437</v>
      </c>
      <c r="K71" s="7" t="s">
        <v>360</v>
      </c>
      <c r="L71" s="7"/>
    </row>
    <row r="72" customFormat="false" ht="15" hidden="false" customHeight="false" outlineLevel="0" collapsed="false">
      <c r="A72" s="7" t="s">
        <v>552</v>
      </c>
      <c r="B72" s="7" t="s">
        <v>105</v>
      </c>
      <c r="C72" s="7" t="s">
        <v>303</v>
      </c>
      <c r="D72" s="7" t="s">
        <v>312</v>
      </c>
      <c r="E72" s="7" t="s">
        <v>135</v>
      </c>
      <c r="F72" s="7" t="s">
        <v>305</v>
      </c>
      <c r="G72" s="7" t="n">
        <v>4</v>
      </c>
      <c r="H72" s="7" t="n">
        <v>3</v>
      </c>
      <c r="I72" s="7" t="s">
        <v>553</v>
      </c>
      <c r="J72" s="7" t="s">
        <v>323</v>
      </c>
      <c r="K72" s="7" t="s">
        <v>448</v>
      </c>
      <c r="L72" s="7"/>
    </row>
    <row r="73" customFormat="false" ht="15" hidden="false" customHeight="false" outlineLevel="0" collapsed="false">
      <c r="A73" s="7" t="s">
        <v>554</v>
      </c>
      <c r="B73" s="7" t="s">
        <v>132</v>
      </c>
      <c r="C73" s="7" t="s">
        <v>317</v>
      </c>
      <c r="D73" s="7" t="s">
        <v>304</v>
      </c>
      <c r="E73" s="7" t="s">
        <v>139</v>
      </c>
      <c r="F73" s="7" t="s">
        <v>305</v>
      </c>
      <c r="G73" s="7" t="n">
        <v>5</v>
      </c>
      <c r="H73" s="7" t="n">
        <v>4</v>
      </c>
      <c r="I73" s="7" t="s">
        <v>555</v>
      </c>
      <c r="J73" s="7" t="s">
        <v>556</v>
      </c>
      <c r="K73" s="7" t="s">
        <v>360</v>
      </c>
      <c r="L73" s="7" t="s">
        <v>557</v>
      </c>
    </row>
    <row r="74" customFormat="false" ht="15" hidden="false" customHeight="false" outlineLevel="0" collapsed="false">
      <c r="A74" s="7" t="s">
        <v>558</v>
      </c>
      <c r="B74" s="7" t="s">
        <v>132</v>
      </c>
      <c r="C74" s="7" t="s">
        <v>317</v>
      </c>
      <c r="D74" s="7" t="s">
        <v>304</v>
      </c>
      <c r="E74" s="7" t="s">
        <v>135</v>
      </c>
      <c r="F74" s="7" t="s">
        <v>305</v>
      </c>
      <c r="G74" s="7" t="n">
        <v>5</v>
      </c>
      <c r="H74" s="7" t="n">
        <v>3</v>
      </c>
      <c r="I74" s="7" t="s">
        <v>559</v>
      </c>
      <c r="J74" s="7" t="s">
        <v>560</v>
      </c>
      <c r="K74" s="7" t="s">
        <v>360</v>
      </c>
      <c r="L74" s="7"/>
    </row>
    <row r="75" customFormat="false" ht="15" hidden="false" customHeight="false" outlineLevel="0" collapsed="false">
      <c r="A75" s="7" t="s">
        <v>561</v>
      </c>
      <c r="B75" s="7" t="s">
        <v>132</v>
      </c>
      <c r="C75" s="7" t="s">
        <v>317</v>
      </c>
      <c r="D75" s="7" t="s">
        <v>304</v>
      </c>
      <c r="E75" s="7" t="s">
        <v>139</v>
      </c>
      <c r="F75" s="7" t="s">
        <v>305</v>
      </c>
      <c r="G75" s="7" t="n">
        <v>5</v>
      </c>
      <c r="H75" s="7" t="n">
        <v>3</v>
      </c>
      <c r="I75" s="7" t="s">
        <v>562</v>
      </c>
      <c r="J75" s="7" t="s">
        <v>519</v>
      </c>
      <c r="K75" s="7" t="s">
        <v>346</v>
      </c>
      <c r="L75" s="7" t="s">
        <v>563</v>
      </c>
    </row>
    <row r="76" customFormat="false" ht="15" hidden="false" customHeight="false" outlineLevel="0" collapsed="false">
      <c r="A76" s="7" t="s">
        <v>564</v>
      </c>
      <c r="B76" s="7" t="s">
        <v>132</v>
      </c>
      <c r="C76" s="7" t="s">
        <v>317</v>
      </c>
      <c r="D76" s="7" t="s">
        <v>304</v>
      </c>
      <c r="E76" s="7" t="s">
        <v>139</v>
      </c>
      <c r="F76" s="7" t="s">
        <v>305</v>
      </c>
      <c r="G76" s="7" t="n">
        <v>4</v>
      </c>
      <c r="H76" s="7" t="n">
        <v>3</v>
      </c>
      <c r="I76" s="7" t="s">
        <v>565</v>
      </c>
      <c r="J76" s="7" t="s">
        <v>560</v>
      </c>
      <c r="K76" s="7" t="s">
        <v>342</v>
      </c>
      <c r="L76" s="7" t="s">
        <v>563</v>
      </c>
    </row>
    <row r="77" customFormat="false" ht="15" hidden="false" customHeight="false" outlineLevel="0" collapsed="false">
      <c r="A77" s="7" t="s">
        <v>566</v>
      </c>
      <c r="B77" s="7" t="s">
        <v>132</v>
      </c>
      <c r="C77" s="7" t="s">
        <v>353</v>
      </c>
      <c r="D77" s="7" t="s">
        <v>312</v>
      </c>
      <c r="E77" s="7" t="s">
        <v>135</v>
      </c>
      <c r="F77" s="7" t="s">
        <v>305</v>
      </c>
      <c r="G77" s="7" t="n">
        <v>4</v>
      </c>
      <c r="H77" s="7" t="n">
        <v>3</v>
      </c>
      <c r="I77" s="7" t="s">
        <v>567</v>
      </c>
      <c r="J77" s="7" t="s">
        <v>568</v>
      </c>
      <c r="K77" s="7" t="s">
        <v>448</v>
      </c>
      <c r="L77" s="7"/>
    </row>
    <row r="78" customFormat="false" ht="15" hidden="false" customHeight="false" outlineLevel="0" collapsed="false">
      <c r="A78" s="7" t="s">
        <v>569</v>
      </c>
      <c r="B78" s="7" t="s">
        <v>132</v>
      </c>
      <c r="C78" s="7" t="s">
        <v>317</v>
      </c>
      <c r="D78" s="7" t="s">
        <v>304</v>
      </c>
      <c r="E78" s="7" t="s">
        <v>135</v>
      </c>
      <c r="F78" s="7" t="s">
        <v>305</v>
      </c>
      <c r="G78" s="7" t="n">
        <v>4</v>
      </c>
      <c r="H78" s="7" t="n">
        <v>3</v>
      </c>
      <c r="I78" s="7" t="s">
        <v>570</v>
      </c>
      <c r="J78" s="7" t="s">
        <v>556</v>
      </c>
      <c r="K78" s="7" t="s">
        <v>360</v>
      </c>
      <c r="L78" s="7" t="s">
        <v>571</v>
      </c>
    </row>
    <row r="79" customFormat="false" ht="15" hidden="false" customHeight="false" outlineLevel="0" collapsed="false">
      <c r="A79" s="7" t="s">
        <v>572</v>
      </c>
      <c r="B79" s="7" t="s">
        <v>573</v>
      </c>
      <c r="C79" s="7" t="s">
        <v>330</v>
      </c>
      <c r="D79" s="7" t="s">
        <v>304</v>
      </c>
      <c r="E79" s="7" t="s">
        <v>135</v>
      </c>
      <c r="F79" s="7" t="s">
        <v>305</v>
      </c>
      <c r="G79" s="7" t="n">
        <v>5</v>
      </c>
      <c r="H79" s="7" t="n">
        <v>3</v>
      </c>
      <c r="I79" s="7" t="s">
        <v>574</v>
      </c>
      <c r="J79" s="7" t="s">
        <v>332</v>
      </c>
      <c r="K79" s="7" t="s">
        <v>456</v>
      </c>
      <c r="L79" s="7"/>
    </row>
    <row r="80" customFormat="false" ht="15" hidden="false" customHeight="false" outlineLevel="0" collapsed="false">
      <c r="A80" s="7" t="s">
        <v>575</v>
      </c>
      <c r="B80" s="7" t="s">
        <v>573</v>
      </c>
      <c r="C80" s="7" t="s">
        <v>303</v>
      </c>
      <c r="D80" s="7" t="s">
        <v>304</v>
      </c>
      <c r="E80" s="7" t="s">
        <v>139</v>
      </c>
      <c r="F80" s="7" t="s">
        <v>305</v>
      </c>
      <c r="G80" s="7" t="n">
        <v>4</v>
      </c>
      <c r="H80" s="7" t="n">
        <v>4</v>
      </c>
      <c r="I80" s="7" t="s">
        <v>576</v>
      </c>
      <c r="J80" s="7" t="s">
        <v>474</v>
      </c>
      <c r="K80" s="7" t="s">
        <v>577</v>
      </c>
      <c r="L80" s="7"/>
    </row>
    <row r="81" customFormat="false" ht="15" hidden="false" customHeight="false" outlineLevel="0" collapsed="false">
      <c r="A81" s="7" t="s">
        <v>578</v>
      </c>
      <c r="B81" s="7" t="s">
        <v>573</v>
      </c>
      <c r="C81" s="7" t="s">
        <v>353</v>
      </c>
      <c r="D81" s="7" t="s">
        <v>312</v>
      </c>
      <c r="E81" s="7" t="s">
        <v>135</v>
      </c>
      <c r="F81" s="7" t="s">
        <v>305</v>
      </c>
      <c r="G81" s="7" t="n">
        <v>3</v>
      </c>
      <c r="H81" s="7" t="n">
        <v>3</v>
      </c>
      <c r="I81" s="7" t="s">
        <v>579</v>
      </c>
      <c r="J81" s="7" t="s">
        <v>580</v>
      </c>
      <c r="K81" s="7" t="s">
        <v>581</v>
      </c>
      <c r="L81" s="7"/>
    </row>
    <row r="82" customFormat="false" ht="15" hidden="false" customHeight="false" outlineLevel="0" collapsed="false">
      <c r="A82" s="7" t="s">
        <v>582</v>
      </c>
      <c r="B82" s="7" t="s">
        <v>573</v>
      </c>
      <c r="C82" s="7" t="s">
        <v>303</v>
      </c>
      <c r="D82" s="7" t="s">
        <v>304</v>
      </c>
      <c r="E82" s="7" t="s">
        <v>135</v>
      </c>
      <c r="F82" s="7" t="s">
        <v>305</v>
      </c>
      <c r="G82" s="7" t="n">
        <v>3</v>
      </c>
      <c r="H82" s="7" t="n">
        <v>4</v>
      </c>
      <c r="I82" s="7" t="s">
        <v>583</v>
      </c>
      <c r="J82" s="7" t="s">
        <v>323</v>
      </c>
      <c r="K82" s="7" t="s">
        <v>584</v>
      </c>
      <c r="L82" s="7"/>
    </row>
    <row r="83" customFormat="false" ht="15" hidden="false" customHeight="false" outlineLevel="0" collapsed="false">
      <c r="A83" s="7" t="s">
        <v>585</v>
      </c>
      <c r="B83" s="7" t="s">
        <v>573</v>
      </c>
      <c r="C83" s="7" t="s">
        <v>353</v>
      </c>
      <c r="D83" s="7" t="s">
        <v>304</v>
      </c>
      <c r="E83" s="7" t="s">
        <v>139</v>
      </c>
      <c r="F83" s="7" t="s">
        <v>305</v>
      </c>
      <c r="G83" s="7" t="n">
        <v>4</v>
      </c>
      <c r="H83" s="7" t="n">
        <v>4</v>
      </c>
      <c r="I83" s="7" t="s">
        <v>586</v>
      </c>
      <c r="J83" s="7" t="s">
        <v>465</v>
      </c>
      <c r="K83" s="7" t="s">
        <v>456</v>
      </c>
      <c r="L83" s="7"/>
    </row>
    <row r="84" customFormat="false" ht="15" hidden="false" customHeight="false" outlineLevel="0" collapsed="false">
      <c r="A84" s="7" t="s">
        <v>587</v>
      </c>
      <c r="B84" s="7" t="s">
        <v>573</v>
      </c>
      <c r="C84" s="7" t="s">
        <v>311</v>
      </c>
      <c r="D84" s="7" t="s">
        <v>312</v>
      </c>
      <c r="E84" s="7" t="s">
        <v>135</v>
      </c>
      <c r="F84" s="7" t="s">
        <v>305</v>
      </c>
      <c r="G84" s="7" t="n">
        <v>5</v>
      </c>
      <c r="H84" s="7" t="n">
        <v>2</v>
      </c>
      <c r="I84" s="7" t="s">
        <v>588</v>
      </c>
      <c r="J84" s="7" t="s">
        <v>455</v>
      </c>
      <c r="K84" s="7" t="s">
        <v>456</v>
      </c>
      <c r="L84" s="7"/>
    </row>
    <row r="85" customFormat="false" ht="15" hidden="false" customHeight="false" outlineLevel="0" collapsed="false">
      <c r="A85" s="7" t="s">
        <v>589</v>
      </c>
      <c r="B85" s="7" t="s">
        <v>590</v>
      </c>
      <c r="C85" s="7" t="s">
        <v>317</v>
      </c>
      <c r="D85" s="7" t="s">
        <v>304</v>
      </c>
      <c r="E85" s="7" t="s">
        <v>135</v>
      </c>
      <c r="F85" s="7" t="s">
        <v>305</v>
      </c>
      <c r="G85" s="7" t="n">
        <v>5</v>
      </c>
      <c r="H85" s="7" t="n">
        <v>3</v>
      </c>
      <c r="I85" s="7" t="s">
        <v>591</v>
      </c>
      <c r="J85" s="7" t="s">
        <v>592</v>
      </c>
      <c r="K85" s="7" t="s">
        <v>593</v>
      </c>
      <c r="L85" s="7"/>
    </row>
    <row r="86" customFormat="false" ht="15" hidden="false" customHeight="false" outlineLevel="0" collapsed="false">
      <c r="A86" s="7" t="s">
        <v>594</v>
      </c>
      <c r="B86" s="7" t="s">
        <v>590</v>
      </c>
      <c r="C86" s="7" t="s">
        <v>353</v>
      </c>
      <c r="D86" s="7" t="s">
        <v>312</v>
      </c>
      <c r="E86" s="7" t="s">
        <v>139</v>
      </c>
      <c r="F86" s="7" t="s">
        <v>305</v>
      </c>
      <c r="G86" s="7" t="n">
        <v>5</v>
      </c>
      <c r="H86" s="7" t="n">
        <v>3</v>
      </c>
      <c r="I86" s="7" t="s">
        <v>595</v>
      </c>
      <c r="J86" s="7" t="s">
        <v>596</v>
      </c>
      <c r="K86" s="7" t="s">
        <v>581</v>
      </c>
      <c r="L86" s="7"/>
    </row>
    <row r="87" customFormat="false" ht="15" hidden="false" customHeight="false" outlineLevel="0" collapsed="false">
      <c r="A87" s="7" t="s">
        <v>597</v>
      </c>
      <c r="B87" s="7" t="s">
        <v>590</v>
      </c>
      <c r="C87" s="7" t="s">
        <v>317</v>
      </c>
      <c r="D87" s="7" t="s">
        <v>304</v>
      </c>
      <c r="E87" s="7" t="s">
        <v>135</v>
      </c>
      <c r="F87" s="7" t="s">
        <v>305</v>
      </c>
      <c r="G87" s="7" t="n">
        <v>4</v>
      </c>
      <c r="H87" s="7" t="n">
        <v>4</v>
      </c>
      <c r="I87" s="7" t="s">
        <v>598</v>
      </c>
      <c r="J87" s="7" t="s">
        <v>599</v>
      </c>
      <c r="K87" s="7" t="s">
        <v>456</v>
      </c>
      <c r="L87" s="7"/>
    </row>
    <row r="88" customFormat="false" ht="15" hidden="false" customHeight="false" outlineLevel="0" collapsed="false">
      <c r="A88" s="7" t="s">
        <v>600</v>
      </c>
      <c r="B88" s="7" t="s">
        <v>590</v>
      </c>
      <c r="C88" s="7" t="s">
        <v>303</v>
      </c>
      <c r="D88" s="7" t="s">
        <v>304</v>
      </c>
      <c r="E88" s="7" t="s">
        <v>135</v>
      </c>
      <c r="F88" s="7" t="s">
        <v>305</v>
      </c>
      <c r="G88" s="7" t="n">
        <v>4</v>
      </c>
      <c r="H88" s="7" t="n">
        <v>4</v>
      </c>
      <c r="I88" s="7" t="s">
        <v>601</v>
      </c>
      <c r="J88" s="7" t="s">
        <v>323</v>
      </c>
      <c r="K88" s="7" t="s">
        <v>602</v>
      </c>
      <c r="L88" s="7" t="s">
        <v>603</v>
      </c>
    </row>
    <row r="89" customFormat="false" ht="15" hidden="false" customHeight="false" outlineLevel="0" collapsed="false">
      <c r="A89" s="7" t="s">
        <v>604</v>
      </c>
      <c r="B89" s="7" t="s">
        <v>590</v>
      </c>
      <c r="C89" s="7" t="s">
        <v>353</v>
      </c>
      <c r="D89" s="7" t="s">
        <v>312</v>
      </c>
      <c r="E89" s="7" t="s">
        <v>139</v>
      </c>
      <c r="F89" s="7" t="s">
        <v>305</v>
      </c>
      <c r="G89" s="7" t="n">
        <v>4</v>
      </c>
      <c r="H89" s="7" t="n">
        <v>3</v>
      </c>
      <c r="I89" s="7" t="s">
        <v>605</v>
      </c>
      <c r="J89" s="7" t="s">
        <v>465</v>
      </c>
      <c r="K89" s="7" t="s">
        <v>581</v>
      </c>
      <c r="L89" s="7"/>
    </row>
    <row r="90" customFormat="false" ht="15" hidden="false" customHeight="false" outlineLevel="0" collapsed="false">
      <c r="A90" s="7" t="s">
        <v>606</v>
      </c>
      <c r="B90" s="7" t="s">
        <v>590</v>
      </c>
      <c r="C90" s="7" t="s">
        <v>353</v>
      </c>
      <c r="D90" s="7" t="s">
        <v>312</v>
      </c>
      <c r="E90" s="7" t="s">
        <v>139</v>
      </c>
      <c r="F90" s="7" t="s">
        <v>305</v>
      </c>
      <c r="G90" s="7" t="n">
        <v>4</v>
      </c>
      <c r="H90" s="7" t="n">
        <v>3</v>
      </c>
      <c r="I90" s="7" t="s">
        <v>607</v>
      </c>
      <c r="J90" s="7" t="s">
        <v>608</v>
      </c>
      <c r="K90" s="7" t="s">
        <v>375</v>
      </c>
      <c r="L90" s="7"/>
    </row>
    <row r="91" customFormat="false" ht="15" hidden="false" customHeight="false" outlineLevel="0" collapsed="false">
      <c r="A91" s="7" t="s">
        <v>609</v>
      </c>
      <c r="B91" s="7" t="s">
        <v>590</v>
      </c>
      <c r="C91" s="7" t="s">
        <v>311</v>
      </c>
      <c r="D91" s="7" t="s">
        <v>312</v>
      </c>
      <c r="E91" s="7" t="s">
        <v>135</v>
      </c>
      <c r="F91" s="7" t="s">
        <v>305</v>
      </c>
      <c r="G91" s="7" t="n">
        <v>5</v>
      </c>
      <c r="H91" s="7" t="n">
        <v>2</v>
      </c>
      <c r="I91" s="7" t="s">
        <v>610</v>
      </c>
      <c r="J91" s="7" t="s">
        <v>611</v>
      </c>
      <c r="K91" s="7" t="s">
        <v>593</v>
      </c>
      <c r="L91" s="7"/>
    </row>
    <row r="92" customFormat="false" ht="15" hidden="false" customHeight="false" outlineLevel="0" collapsed="false">
      <c r="A92" s="7" t="s">
        <v>612</v>
      </c>
      <c r="B92" s="7" t="s">
        <v>590</v>
      </c>
      <c r="C92" s="7" t="s">
        <v>353</v>
      </c>
      <c r="D92" s="7" t="s">
        <v>304</v>
      </c>
      <c r="E92" s="7" t="s">
        <v>139</v>
      </c>
      <c r="F92" s="7" t="s">
        <v>305</v>
      </c>
      <c r="G92" s="7" t="n">
        <v>4</v>
      </c>
      <c r="H92" s="7" t="n">
        <v>4</v>
      </c>
      <c r="I92" s="7" t="s">
        <v>613</v>
      </c>
      <c r="J92" s="7" t="s">
        <v>596</v>
      </c>
      <c r="K92" s="7" t="s">
        <v>614</v>
      </c>
      <c r="L92" s="7"/>
    </row>
    <row r="93" customFormat="false" ht="15" hidden="false" customHeight="false" outlineLevel="0" collapsed="false">
      <c r="A93" s="7" t="s">
        <v>615</v>
      </c>
      <c r="B93" s="7" t="s">
        <v>616</v>
      </c>
      <c r="C93" s="7" t="s">
        <v>317</v>
      </c>
      <c r="D93" s="7" t="s">
        <v>304</v>
      </c>
      <c r="E93" s="7" t="s">
        <v>135</v>
      </c>
      <c r="F93" s="7" t="s">
        <v>305</v>
      </c>
      <c r="G93" s="7" t="n">
        <v>5</v>
      </c>
      <c r="H93" s="7" t="n">
        <v>3</v>
      </c>
      <c r="I93" s="7" t="s">
        <v>617</v>
      </c>
      <c r="J93" s="7" t="s">
        <v>618</v>
      </c>
      <c r="K93" s="7" t="s">
        <v>593</v>
      </c>
      <c r="L93" s="7"/>
    </row>
    <row r="94" customFormat="false" ht="15" hidden="false" customHeight="false" outlineLevel="0" collapsed="false">
      <c r="A94" s="7" t="s">
        <v>619</v>
      </c>
      <c r="B94" s="7" t="s">
        <v>616</v>
      </c>
      <c r="C94" s="7" t="s">
        <v>311</v>
      </c>
      <c r="D94" s="7" t="s">
        <v>312</v>
      </c>
      <c r="E94" s="7" t="s">
        <v>135</v>
      </c>
      <c r="F94" s="7" t="s">
        <v>305</v>
      </c>
      <c r="G94" s="7" t="n">
        <v>5</v>
      </c>
      <c r="H94" s="7" t="n">
        <v>2</v>
      </c>
      <c r="I94" s="7" t="s">
        <v>620</v>
      </c>
      <c r="J94" s="7" t="s">
        <v>611</v>
      </c>
      <c r="K94" s="7" t="s">
        <v>614</v>
      </c>
      <c r="L94" s="7"/>
    </row>
    <row r="95" customFormat="false" ht="15" hidden="false" customHeight="false" outlineLevel="0" collapsed="false">
      <c r="A95" s="7" t="s">
        <v>621</v>
      </c>
      <c r="B95" s="7" t="s">
        <v>616</v>
      </c>
      <c r="C95" s="7" t="s">
        <v>317</v>
      </c>
      <c r="D95" s="7" t="s">
        <v>312</v>
      </c>
      <c r="E95" s="7" t="s">
        <v>135</v>
      </c>
      <c r="F95" s="7" t="s">
        <v>305</v>
      </c>
      <c r="G95" s="7" t="n">
        <v>4</v>
      </c>
      <c r="H95" s="7" t="n">
        <v>3</v>
      </c>
      <c r="I95" s="7" t="s">
        <v>622</v>
      </c>
      <c r="J95" s="7" t="s">
        <v>611</v>
      </c>
      <c r="K95" s="7" t="s">
        <v>614</v>
      </c>
      <c r="L95" s="7"/>
    </row>
    <row r="96" customFormat="false" ht="15" hidden="false" customHeight="false" outlineLevel="0" collapsed="false">
      <c r="A96" s="7" t="s">
        <v>623</v>
      </c>
      <c r="B96" s="7" t="s">
        <v>616</v>
      </c>
      <c r="C96" s="7" t="s">
        <v>330</v>
      </c>
      <c r="D96" s="7" t="s">
        <v>312</v>
      </c>
      <c r="E96" s="7" t="s">
        <v>135</v>
      </c>
      <c r="F96" s="7" t="s">
        <v>305</v>
      </c>
      <c r="G96" s="7" t="n">
        <v>5</v>
      </c>
      <c r="H96" s="7" t="n">
        <v>2</v>
      </c>
      <c r="I96" s="7" t="s">
        <v>624</v>
      </c>
      <c r="J96" s="7" t="s">
        <v>332</v>
      </c>
      <c r="K96" s="7" t="s">
        <v>593</v>
      </c>
      <c r="L96" s="7"/>
    </row>
    <row r="97" customFormat="false" ht="15" hidden="false" customHeight="false" outlineLevel="0" collapsed="false">
      <c r="A97" s="7" t="s">
        <v>625</v>
      </c>
      <c r="B97" s="7" t="s">
        <v>616</v>
      </c>
      <c r="C97" s="7" t="s">
        <v>303</v>
      </c>
      <c r="D97" s="7" t="s">
        <v>304</v>
      </c>
      <c r="E97" s="7" t="s">
        <v>135</v>
      </c>
      <c r="F97" s="7" t="s">
        <v>305</v>
      </c>
      <c r="G97" s="7" t="n">
        <v>3</v>
      </c>
      <c r="H97" s="7" t="n">
        <v>4</v>
      </c>
      <c r="I97" s="7" t="s">
        <v>626</v>
      </c>
      <c r="J97" s="7" t="s">
        <v>323</v>
      </c>
      <c r="K97" s="7" t="s">
        <v>614</v>
      </c>
      <c r="L97" s="7"/>
    </row>
    <row r="98" customFormat="false" ht="15" hidden="false" customHeight="false" outlineLevel="0" collapsed="false">
      <c r="A98" s="7" t="s">
        <v>627</v>
      </c>
      <c r="B98" s="7" t="s">
        <v>616</v>
      </c>
      <c r="C98" s="7" t="s">
        <v>330</v>
      </c>
      <c r="D98" s="7" t="s">
        <v>422</v>
      </c>
      <c r="E98" s="7" t="s">
        <v>130</v>
      </c>
      <c r="F98" s="7" t="s">
        <v>305</v>
      </c>
      <c r="G98" s="7" t="n">
        <v>5</v>
      </c>
      <c r="H98" s="7" t="n">
        <v>1</v>
      </c>
      <c r="I98" s="7" t="s">
        <v>628</v>
      </c>
      <c r="J98" s="7" t="s">
        <v>611</v>
      </c>
      <c r="K98" s="7" t="s">
        <v>593</v>
      </c>
      <c r="L98" s="7" t="s">
        <v>629</v>
      </c>
    </row>
    <row r="99" customFormat="false" ht="15" hidden="false" customHeight="false" outlineLevel="0" collapsed="false">
      <c r="A99" s="7" t="s">
        <v>630</v>
      </c>
      <c r="B99" s="7" t="s">
        <v>616</v>
      </c>
      <c r="C99" s="7" t="s">
        <v>330</v>
      </c>
      <c r="D99" s="7" t="s">
        <v>312</v>
      </c>
      <c r="E99" s="7" t="s">
        <v>135</v>
      </c>
      <c r="F99" s="7" t="s">
        <v>305</v>
      </c>
      <c r="G99" s="7" t="n">
        <v>5</v>
      </c>
      <c r="H99" s="7" t="n">
        <v>3</v>
      </c>
      <c r="I99" s="7" t="s">
        <v>631</v>
      </c>
      <c r="J99" s="7" t="s">
        <v>332</v>
      </c>
      <c r="K99" s="7" t="s">
        <v>390</v>
      </c>
      <c r="L99" s="7" t="s">
        <v>334</v>
      </c>
    </row>
    <row r="100" customFormat="false" ht="15" hidden="false" customHeight="false" outlineLevel="0" collapsed="false">
      <c r="A100" s="7" t="s">
        <v>632</v>
      </c>
      <c r="B100" s="7" t="s">
        <v>616</v>
      </c>
      <c r="C100" s="7" t="s">
        <v>317</v>
      </c>
      <c r="D100" s="7" t="s">
        <v>312</v>
      </c>
      <c r="E100" s="7" t="s">
        <v>135</v>
      </c>
      <c r="F100" s="7" t="s">
        <v>305</v>
      </c>
      <c r="G100" s="7" t="n">
        <v>4</v>
      </c>
      <c r="H100" s="7" t="n">
        <v>3</v>
      </c>
      <c r="I100" s="7" t="s">
        <v>633</v>
      </c>
      <c r="J100" s="7" t="s">
        <v>611</v>
      </c>
      <c r="K100" s="7" t="s">
        <v>614</v>
      </c>
      <c r="L100" s="7"/>
    </row>
    <row r="101" customFormat="false" ht="15" hidden="false" customHeight="false" outlineLevel="0" collapsed="false">
      <c r="A101" s="7" t="s">
        <v>634</v>
      </c>
      <c r="B101" s="7" t="s">
        <v>288</v>
      </c>
      <c r="C101" s="7" t="s">
        <v>353</v>
      </c>
      <c r="D101" s="7" t="s">
        <v>304</v>
      </c>
      <c r="E101" s="7" t="s">
        <v>139</v>
      </c>
      <c r="F101" s="7" t="s">
        <v>305</v>
      </c>
      <c r="G101" s="7" t="n">
        <v>4</v>
      </c>
      <c r="H101" s="7" t="n">
        <v>4</v>
      </c>
      <c r="I101" s="7" t="s">
        <v>635</v>
      </c>
      <c r="J101" s="7" t="s">
        <v>371</v>
      </c>
      <c r="K101" s="7" t="s">
        <v>375</v>
      </c>
      <c r="L101" s="7" t="s">
        <v>636</v>
      </c>
    </row>
    <row r="102" customFormat="false" ht="15" hidden="false" customHeight="false" outlineLevel="0" collapsed="false">
      <c r="A102" s="7" t="s">
        <v>637</v>
      </c>
      <c r="B102" s="7" t="s">
        <v>288</v>
      </c>
      <c r="C102" s="7" t="s">
        <v>303</v>
      </c>
      <c r="D102" s="7" t="s">
        <v>304</v>
      </c>
      <c r="E102" s="7" t="s">
        <v>135</v>
      </c>
      <c r="F102" s="7" t="s">
        <v>305</v>
      </c>
      <c r="G102" s="7" t="n">
        <v>3</v>
      </c>
      <c r="H102" s="7" t="n">
        <v>5</v>
      </c>
      <c r="I102" s="7" t="s">
        <v>638</v>
      </c>
      <c r="J102" s="7" t="s">
        <v>307</v>
      </c>
      <c r="K102" s="7" t="s">
        <v>375</v>
      </c>
      <c r="L102" s="7"/>
    </row>
    <row r="103" customFormat="false" ht="15" hidden="false" customHeight="false" outlineLevel="0" collapsed="false">
      <c r="A103" s="7" t="s">
        <v>639</v>
      </c>
      <c r="B103" s="7" t="s">
        <v>288</v>
      </c>
      <c r="C103" s="7" t="s">
        <v>317</v>
      </c>
      <c r="D103" s="7" t="s">
        <v>304</v>
      </c>
      <c r="E103" s="7" t="s">
        <v>139</v>
      </c>
      <c r="F103" s="7" t="s">
        <v>305</v>
      </c>
      <c r="G103" s="7" t="n">
        <v>4</v>
      </c>
      <c r="H103" s="7" t="n">
        <v>4</v>
      </c>
      <c r="I103" s="7" t="s">
        <v>640</v>
      </c>
      <c r="J103" s="7" t="s">
        <v>560</v>
      </c>
      <c r="K103" s="7" t="s">
        <v>602</v>
      </c>
      <c r="L103" s="7"/>
    </row>
    <row r="104" customFormat="false" ht="15" hidden="false" customHeight="false" outlineLevel="0" collapsed="false">
      <c r="A104" s="7" t="s">
        <v>641</v>
      </c>
      <c r="B104" s="7" t="s">
        <v>288</v>
      </c>
      <c r="C104" s="7" t="s">
        <v>353</v>
      </c>
      <c r="D104" s="7" t="s">
        <v>312</v>
      </c>
      <c r="E104" s="7" t="s">
        <v>139</v>
      </c>
      <c r="F104" s="7" t="s">
        <v>305</v>
      </c>
      <c r="G104" s="7" t="n">
        <v>4</v>
      </c>
      <c r="H104" s="7" t="n">
        <v>3</v>
      </c>
      <c r="I104" s="7" t="s">
        <v>642</v>
      </c>
      <c r="J104" s="7" t="s">
        <v>643</v>
      </c>
      <c r="K104" s="7" t="s">
        <v>602</v>
      </c>
      <c r="L104" s="7"/>
    </row>
    <row r="105" customFormat="false" ht="15" hidden="false" customHeight="false" outlineLevel="0" collapsed="false">
      <c r="A105" s="7" t="s">
        <v>644</v>
      </c>
      <c r="B105" s="7" t="s">
        <v>288</v>
      </c>
      <c r="C105" s="7" t="s">
        <v>303</v>
      </c>
      <c r="D105" s="7" t="s">
        <v>304</v>
      </c>
      <c r="E105" s="7" t="s">
        <v>135</v>
      </c>
      <c r="F105" s="7" t="s">
        <v>305</v>
      </c>
      <c r="G105" s="7" t="n">
        <v>4</v>
      </c>
      <c r="H105" s="7" t="n">
        <v>3</v>
      </c>
      <c r="I105" s="7" t="s">
        <v>645</v>
      </c>
      <c r="J105" s="7" t="s">
        <v>599</v>
      </c>
      <c r="K105" s="7" t="s">
        <v>375</v>
      </c>
      <c r="L105" s="7" t="s">
        <v>646</v>
      </c>
    </row>
    <row r="106" customFormat="false" ht="15" hidden="false" customHeight="false" outlineLevel="0" collapsed="false">
      <c r="A106" s="7" t="s">
        <v>647</v>
      </c>
      <c r="B106" s="7" t="s">
        <v>288</v>
      </c>
      <c r="C106" s="7" t="s">
        <v>330</v>
      </c>
      <c r="D106" s="7" t="s">
        <v>312</v>
      </c>
      <c r="E106" s="7" t="s">
        <v>135</v>
      </c>
      <c r="F106" s="7" t="s">
        <v>305</v>
      </c>
      <c r="G106" s="7" t="n">
        <v>4</v>
      </c>
      <c r="H106" s="7" t="n">
        <v>3</v>
      </c>
      <c r="I106" s="7" t="s">
        <v>648</v>
      </c>
      <c r="J106" s="7" t="s">
        <v>649</v>
      </c>
      <c r="K106" s="7" t="s">
        <v>375</v>
      </c>
      <c r="L106" s="7" t="s">
        <v>650</v>
      </c>
    </row>
    <row r="107" customFormat="false" ht="15" hidden="false" customHeight="false" outlineLevel="0" collapsed="false">
      <c r="A107" s="7" t="s">
        <v>651</v>
      </c>
      <c r="B107" s="7" t="s">
        <v>288</v>
      </c>
      <c r="C107" s="7" t="s">
        <v>303</v>
      </c>
      <c r="D107" s="7" t="s">
        <v>312</v>
      </c>
      <c r="E107" s="7" t="s">
        <v>135</v>
      </c>
      <c r="F107" s="7" t="s">
        <v>305</v>
      </c>
      <c r="G107" s="7" t="n">
        <v>4</v>
      </c>
      <c r="H107" s="7" t="n">
        <v>3</v>
      </c>
      <c r="I107" s="7" t="s">
        <v>652</v>
      </c>
      <c r="J107" s="7" t="s">
        <v>307</v>
      </c>
      <c r="K107" s="7" t="s">
        <v>653</v>
      </c>
      <c r="L107" s="7"/>
    </row>
    <row r="108" customFormat="false" ht="15" hidden="false" customHeight="false" outlineLevel="0" collapsed="false">
      <c r="A108" s="7" t="s">
        <v>654</v>
      </c>
      <c r="B108" s="7" t="s">
        <v>127</v>
      </c>
      <c r="C108" s="7" t="s">
        <v>303</v>
      </c>
      <c r="D108" s="7" t="s">
        <v>304</v>
      </c>
      <c r="E108" s="7" t="s">
        <v>135</v>
      </c>
      <c r="F108" s="7" t="s">
        <v>305</v>
      </c>
      <c r="G108" s="7" t="n">
        <v>3</v>
      </c>
      <c r="H108" s="7" t="n">
        <v>5</v>
      </c>
      <c r="I108" s="7" t="s">
        <v>655</v>
      </c>
      <c r="J108" s="7" t="s">
        <v>409</v>
      </c>
      <c r="K108" s="7" t="s">
        <v>380</v>
      </c>
      <c r="L108" s="7" t="s">
        <v>656</v>
      </c>
    </row>
    <row r="109" customFormat="false" ht="15" hidden="false" customHeight="false" outlineLevel="0" collapsed="false">
      <c r="A109" s="7" t="s">
        <v>657</v>
      </c>
      <c r="B109" s="7" t="s">
        <v>127</v>
      </c>
      <c r="C109" s="7" t="s">
        <v>353</v>
      </c>
      <c r="D109" s="7" t="s">
        <v>304</v>
      </c>
      <c r="E109" s="7" t="s">
        <v>139</v>
      </c>
      <c r="F109" s="7" t="s">
        <v>305</v>
      </c>
      <c r="G109" s="7" t="n">
        <v>4</v>
      </c>
      <c r="H109" s="7" t="n">
        <v>3</v>
      </c>
      <c r="I109" s="7" t="s">
        <v>658</v>
      </c>
      <c r="J109" s="7" t="s">
        <v>659</v>
      </c>
      <c r="K109" s="7" t="s">
        <v>660</v>
      </c>
      <c r="L109" s="7"/>
    </row>
    <row r="110" customFormat="false" ht="15" hidden="false" customHeight="false" outlineLevel="0" collapsed="false">
      <c r="A110" s="7" t="s">
        <v>661</v>
      </c>
      <c r="B110" s="7" t="s">
        <v>127</v>
      </c>
      <c r="C110" s="7" t="s">
        <v>353</v>
      </c>
      <c r="D110" s="7" t="s">
        <v>304</v>
      </c>
      <c r="E110" s="7" t="s">
        <v>139</v>
      </c>
      <c r="F110" s="7" t="s">
        <v>305</v>
      </c>
      <c r="G110" s="7" t="n">
        <v>4</v>
      </c>
      <c r="H110" s="7" t="n">
        <v>4</v>
      </c>
      <c r="I110" s="7" t="s">
        <v>662</v>
      </c>
      <c r="J110" s="7" t="s">
        <v>649</v>
      </c>
      <c r="K110" s="7" t="s">
        <v>443</v>
      </c>
      <c r="L110" s="7"/>
    </row>
    <row r="111" customFormat="false" ht="15" hidden="false" customHeight="false" outlineLevel="0" collapsed="false">
      <c r="A111" s="7" t="s">
        <v>663</v>
      </c>
      <c r="B111" s="7" t="s">
        <v>127</v>
      </c>
      <c r="C111" s="7" t="s">
        <v>317</v>
      </c>
      <c r="D111" s="7" t="s">
        <v>304</v>
      </c>
      <c r="E111" s="7" t="s">
        <v>135</v>
      </c>
      <c r="F111" s="7" t="s">
        <v>344</v>
      </c>
      <c r="G111" s="7" t="n">
        <v>3</v>
      </c>
      <c r="H111" s="7" t="n">
        <v>3</v>
      </c>
      <c r="I111" s="7" t="s">
        <v>664</v>
      </c>
      <c r="J111" s="7" t="s">
        <v>599</v>
      </c>
      <c r="K111" s="7" t="s">
        <v>483</v>
      </c>
      <c r="L111" s="7"/>
    </row>
    <row r="112" customFormat="false" ht="15" hidden="false" customHeight="false" outlineLevel="0" collapsed="false">
      <c r="A112" s="7" t="s">
        <v>665</v>
      </c>
      <c r="B112" s="7" t="s">
        <v>127</v>
      </c>
      <c r="C112" s="7" t="s">
        <v>353</v>
      </c>
      <c r="D112" s="7" t="s">
        <v>304</v>
      </c>
      <c r="E112" s="7" t="s">
        <v>139</v>
      </c>
      <c r="F112" s="7" t="s">
        <v>305</v>
      </c>
      <c r="G112" s="7" t="n">
        <v>3</v>
      </c>
      <c r="H112" s="7" t="n">
        <v>4</v>
      </c>
      <c r="I112" s="7" t="s">
        <v>666</v>
      </c>
      <c r="J112" s="7" t="s">
        <v>465</v>
      </c>
      <c r="K112" s="7" t="s">
        <v>577</v>
      </c>
      <c r="L112" s="7"/>
    </row>
    <row r="113" customFormat="false" ht="15" hidden="false" customHeight="false" outlineLevel="0" collapsed="false">
      <c r="A113" s="7" t="s">
        <v>667</v>
      </c>
      <c r="B113" s="7" t="s">
        <v>127</v>
      </c>
      <c r="C113" s="7" t="s">
        <v>317</v>
      </c>
      <c r="D113" s="7" t="s">
        <v>304</v>
      </c>
      <c r="E113" s="7" t="s">
        <v>135</v>
      </c>
      <c r="F113" s="7" t="s">
        <v>305</v>
      </c>
      <c r="G113" s="7" t="n">
        <v>3</v>
      </c>
      <c r="H113" s="7" t="n">
        <v>4</v>
      </c>
      <c r="I113" s="7" t="s">
        <v>668</v>
      </c>
      <c r="J113" s="7" t="s">
        <v>669</v>
      </c>
      <c r="K113" s="7" t="s">
        <v>670</v>
      </c>
      <c r="L113" s="7"/>
    </row>
    <row r="114" customFormat="false" ht="15" hidden="false" customHeight="false" outlineLevel="0" collapsed="false">
      <c r="A114" s="7" t="s">
        <v>671</v>
      </c>
      <c r="B114" s="7" t="s">
        <v>127</v>
      </c>
      <c r="C114" s="7" t="s">
        <v>330</v>
      </c>
      <c r="D114" s="7" t="s">
        <v>304</v>
      </c>
      <c r="E114" s="7" t="s">
        <v>139</v>
      </c>
      <c r="F114" s="7" t="s">
        <v>305</v>
      </c>
      <c r="G114" s="7" t="n">
        <v>3</v>
      </c>
      <c r="H114" s="7" t="n">
        <v>4</v>
      </c>
      <c r="I114" s="7" t="s">
        <v>672</v>
      </c>
      <c r="J114" s="7" t="s">
        <v>673</v>
      </c>
      <c r="K114" s="7" t="s">
        <v>475</v>
      </c>
      <c r="L114" s="7" t="s">
        <v>674</v>
      </c>
    </row>
    <row r="115" customFormat="false" ht="15" hidden="false" customHeight="false" outlineLevel="0" collapsed="false">
      <c r="A115" s="7" t="s">
        <v>675</v>
      </c>
      <c r="B115" s="7" t="s">
        <v>302</v>
      </c>
      <c r="C115" s="7" t="s">
        <v>317</v>
      </c>
      <c r="D115" s="7" t="s">
        <v>304</v>
      </c>
      <c r="E115" s="7" t="s">
        <v>135</v>
      </c>
      <c r="F115" s="7" t="s">
        <v>305</v>
      </c>
      <c r="G115" s="7" t="n">
        <v>3</v>
      </c>
      <c r="H115" s="7" t="n">
        <v>4</v>
      </c>
      <c r="I115" s="7" t="s">
        <v>676</v>
      </c>
      <c r="J115" s="7" t="s">
        <v>677</v>
      </c>
      <c r="K115" s="7" t="s">
        <v>338</v>
      </c>
      <c r="L115" s="7"/>
    </row>
    <row r="116" customFormat="false" ht="15" hidden="false" customHeight="false" outlineLevel="0" collapsed="false">
      <c r="A116" s="7" t="s">
        <v>678</v>
      </c>
      <c r="B116" s="7" t="s">
        <v>302</v>
      </c>
      <c r="C116" s="7" t="s">
        <v>303</v>
      </c>
      <c r="D116" s="7" t="s">
        <v>312</v>
      </c>
      <c r="E116" s="7" t="s">
        <v>135</v>
      </c>
      <c r="F116" s="7" t="s">
        <v>305</v>
      </c>
      <c r="G116" s="7" t="n">
        <v>4</v>
      </c>
      <c r="H116" s="7" t="n">
        <v>3</v>
      </c>
      <c r="I116" s="7" t="s">
        <v>679</v>
      </c>
      <c r="J116" s="7" t="s">
        <v>680</v>
      </c>
      <c r="K116" s="7" t="s">
        <v>390</v>
      </c>
      <c r="L116" s="7"/>
    </row>
    <row r="117" customFormat="false" ht="15" hidden="false" customHeight="false" outlineLevel="0" collapsed="false">
      <c r="A117" s="7" t="s">
        <v>681</v>
      </c>
      <c r="B117" s="7" t="s">
        <v>302</v>
      </c>
      <c r="C117" s="7" t="s">
        <v>311</v>
      </c>
      <c r="D117" s="7" t="s">
        <v>312</v>
      </c>
      <c r="E117" s="7" t="s">
        <v>135</v>
      </c>
      <c r="F117" s="7" t="s">
        <v>305</v>
      </c>
      <c r="G117" s="7" t="n">
        <v>3</v>
      </c>
      <c r="H117" s="7" t="n">
        <v>3</v>
      </c>
      <c r="I117" s="7" t="s">
        <v>682</v>
      </c>
      <c r="J117" s="7" t="s">
        <v>683</v>
      </c>
      <c r="K117" s="7" t="s">
        <v>328</v>
      </c>
      <c r="L117" s="7"/>
    </row>
    <row r="118" customFormat="false" ht="15" hidden="false" customHeight="false" outlineLevel="0" collapsed="false">
      <c r="A118" s="7" t="s">
        <v>684</v>
      </c>
      <c r="B118" s="7" t="s">
        <v>302</v>
      </c>
      <c r="C118" s="7" t="s">
        <v>317</v>
      </c>
      <c r="D118" s="7" t="s">
        <v>304</v>
      </c>
      <c r="E118" s="7" t="s">
        <v>135</v>
      </c>
      <c r="F118" s="7" t="s">
        <v>305</v>
      </c>
      <c r="G118" s="7" t="n">
        <v>3</v>
      </c>
      <c r="H118" s="7" t="n">
        <v>4</v>
      </c>
      <c r="I118" s="7" t="s">
        <v>685</v>
      </c>
      <c r="J118" s="7" t="s">
        <v>686</v>
      </c>
      <c r="K118" s="7" t="s">
        <v>406</v>
      </c>
      <c r="L118" s="7"/>
    </row>
    <row r="119" customFormat="false" ht="15" hidden="false" customHeight="false" outlineLevel="0" collapsed="false">
      <c r="A119" s="7" t="s">
        <v>687</v>
      </c>
      <c r="B119" s="7" t="s">
        <v>302</v>
      </c>
      <c r="C119" s="7" t="s">
        <v>303</v>
      </c>
      <c r="D119" s="7" t="s">
        <v>304</v>
      </c>
      <c r="E119" s="7" t="s">
        <v>135</v>
      </c>
      <c r="F119" s="7" t="s">
        <v>305</v>
      </c>
      <c r="G119" s="7" t="n">
        <v>3</v>
      </c>
      <c r="H119" s="7" t="n">
        <v>4</v>
      </c>
      <c r="I119" s="7" t="s">
        <v>688</v>
      </c>
      <c r="J119" s="7" t="s">
        <v>323</v>
      </c>
      <c r="K119" s="7" t="s">
        <v>324</v>
      </c>
      <c r="L119" s="7" t="s">
        <v>689</v>
      </c>
    </row>
    <row r="120" customFormat="false" ht="15" hidden="false" customHeight="false" outlineLevel="0" collapsed="false">
      <c r="A120" s="7" t="s">
        <v>690</v>
      </c>
      <c r="B120" s="7" t="s">
        <v>143</v>
      </c>
      <c r="C120" s="7" t="s">
        <v>353</v>
      </c>
      <c r="D120" s="7" t="s">
        <v>304</v>
      </c>
      <c r="E120" s="7" t="s">
        <v>139</v>
      </c>
      <c r="F120" s="7" t="s">
        <v>305</v>
      </c>
      <c r="G120" s="7" t="n">
        <v>4</v>
      </c>
      <c r="H120" s="7" t="n">
        <v>4</v>
      </c>
      <c r="I120" s="7" t="s">
        <v>691</v>
      </c>
      <c r="J120" s="7" t="s">
        <v>692</v>
      </c>
      <c r="K120" s="7" t="s">
        <v>693</v>
      </c>
      <c r="L120" s="7"/>
    </row>
    <row r="121" customFormat="false" ht="15" hidden="false" customHeight="false" outlineLevel="0" collapsed="false">
      <c r="A121" s="7" t="s">
        <v>694</v>
      </c>
      <c r="B121" s="7" t="s">
        <v>143</v>
      </c>
      <c r="C121" s="7" t="s">
        <v>317</v>
      </c>
      <c r="D121" s="7" t="s">
        <v>304</v>
      </c>
      <c r="E121" s="7" t="s">
        <v>135</v>
      </c>
      <c r="F121" s="7" t="s">
        <v>305</v>
      </c>
      <c r="G121" s="7" t="n">
        <v>4</v>
      </c>
      <c r="H121" s="7" t="n">
        <v>3</v>
      </c>
      <c r="I121" s="7" t="s">
        <v>695</v>
      </c>
      <c r="J121" s="7" t="s">
        <v>363</v>
      </c>
      <c r="K121" s="7" t="s">
        <v>315</v>
      </c>
      <c r="L121" s="7"/>
    </row>
    <row r="122" customFormat="false" ht="15" hidden="false" customHeight="false" outlineLevel="0" collapsed="false">
      <c r="A122" s="7" t="s">
        <v>696</v>
      </c>
      <c r="B122" s="7" t="s">
        <v>143</v>
      </c>
      <c r="C122" s="7" t="s">
        <v>317</v>
      </c>
      <c r="D122" s="7" t="s">
        <v>304</v>
      </c>
      <c r="E122" s="7" t="s">
        <v>135</v>
      </c>
      <c r="F122" s="7" t="s">
        <v>305</v>
      </c>
      <c r="G122" s="7" t="n">
        <v>4</v>
      </c>
      <c r="H122" s="7" t="n">
        <v>3</v>
      </c>
      <c r="I122" s="7" t="s">
        <v>697</v>
      </c>
      <c r="J122" s="7" t="s">
        <v>698</v>
      </c>
      <c r="K122" s="7" t="s">
        <v>386</v>
      </c>
      <c r="L122" s="7"/>
    </row>
    <row r="123" customFormat="false" ht="15" hidden="false" customHeight="false" outlineLevel="0" collapsed="false">
      <c r="A123" s="7" t="s">
        <v>699</v>
      </c>
      <c r="B123" s="7" t="s">
        <v>143</v>
      </c>
      <c r="C123" s="7" t="s">
        <v>317</v>
      </c>
      <c r="D123" s="7" t="s">
        <v>304</v>
      </c>
      <c r="E123" s="7" t="s">
        <v>135</v>
      </c>
      <c r="F123" s="7" t="s">
        <v>305</v>
      </c>
      <c r="G123" s="7" t="n">
        <v>4</v>
      </c>
      <c r="H123" s="7" t="n">
        <v>3</v>
      </c>
      <c r="I123" s="7" t="s">
        <v>700</v>
      </c>
      <c r="J123" s="7" t="s">
        <v>701</v>
      </c>
      <c r="K123" s="7" t="s">
        <v>338</v>
      </c>
      <c r="L123" s="7"/>
    </row>
    <row r="124" customFormat="false" ht="15" hidden="false" customHeight="false" outlineLevel="0" collapsed="false">
      <c r="A124" s="7" t="s">
        <v>702</v>
      </c>
      <c r="B124" s="7" t="s">
        <v>143</v>
      </c>
      <c r="C124" s="7" t="s">
        <v>353</v>
      </c>
      <c r="D124" s="7" t="s">
        <v>312</v>
      </c>
      <c r="E124" s="7" t="s">
        <v>139</v>
      </c>
      <c r="F124" s="7" t="s">
        <v>305</v>
      </c>
      <c r="G124" s="7" t="n">
        <v>4</v>
      </c>
      <c r="H124" s="7" t="n">
        <v>3</v>
      </c>
      <c r="I124" s="7" t="s">
        <v>703</v>
      </c>
      <c r="J124" s="7" t="s">
        <v>704</v>
      </c>
      <c r="K124" s="7" t="s">
        <v>328</v>
      </c>
      <c r="L124" s="7"/>
    </row>
    <row r="125" customFormat="false" ht="15" hidden="false" customHeight="false" outlineLevel="0" collapsed="false">
      <c r="A125" s="7" t="s">
        <v>705</v>
      </c>
      <c r="B125" s="7" t="s">
        <v>143</v>
      </c>
      <c r="C125" s="7" t="s">
        <v>317</v>
      </c>
      <c r="D125" s="7" t="s">
        <v>304</v>
      </c>
      <c r="E125" s="7" t="s">
        <v>135</v>
      </c>
      <c r="F125" s="7" t="s">
        <v>305</v>
      </c>
      <c r="G125" s="7" t="n">
        <v>4</v>
      </c>
      <c r="H125" s="7" t="n">
        <v>3</v>
      </c>
      <c r="I125" s="7" t="s">
        <v>706</v>
      </c>
      <c r="J125" s="7" t="s">
        <v>707</v>
      </c>
      <c r="K125" s="7" t="s">
        <v>315</v>
      </c>
      <c r="L125" s="7" t="s">
        <v>154</v>
      </c>
    </row>
    <row r="126" customFormat="false" ht="15" hidden="false" customHeight="false" outlineLevel="0" collapsed="false">
      <c r="A126" s="7" t="s">
        <v>708</v>
      </c>
      <c r="B126" s="7" t="s">
        <v>119</v>
      </c>
      <c r="C126" s="7" t="s">
        <v>303</v>
      </c>
      <c r="D126" s="7" t="s">
        <v>304</v>
      </c>
      <c r="E126" s="7" t="s">
        <v>135</v>
      </c>
      <c r="F126" s="7" t="s">
        <v>305</v>
      </c>
      <c r="G126" s="7" t="n">
        <v>3</v>
      </c>
      <c r="H126" s="7" t="n">
        <v>4</v>
      </c>
      <c r="I126" s="7" t="s">
        <v>709</v>
      </c>
      <c r="J126" s="7" t="s">
        <v>710</v>
      </c>
      <c r="K126" s="7" t="s">
        <v>397</v>
      </c>
      <c r="L126" s="7"/>
    </row>
    <row r="127" customFormat="false" ht="15" hidden="false" customHeight="false" outlineLevel="0" collapsed="false">
      <c r="A127" s="7" t="s">
        <v>711</v>
      </c>
      <c r="B127" s="7" t="s">
        <v>119</v>
      </c>
      <c r="C127" s="7" t="s">
        <v>317</v>
      </c>
      <c r="D127" s="7" t="s">
        <v>304</v>
      </c>
      <c r="E127" s="7" t="s">
        <v>135</v>
      </c>
      <c r="F127" s="7" t="s">
        <v>305</v>
      </c>
      <c r="G127" s="7" t="n">
        <v>3</v>
      </c>
      <c r="H127" s="7" t="n">
        <v>4</v>
      </c>
      <c r="I127" s="7" t="s">
        <v>712</v>
      </c>
      <c r="J127" s="7" t="s">
        <v>713</v>
      </c>
      <c r="K127" s="7" t="s">
        <v>438</v>
      </c>
      <c r="L127" s="7"/>
    </row>
    <row r="128" customFormat="false" ht="15" hidden="false" customHeight="false" outlineLevel="0" collapsed="false">
      <c r="A128" s="7" t="s">
        <v>714</v>
      </c>
      <c r="B128" s="7" t="s">
        <v>119</v>
      </c>
      <c r="C128" s="7" t="s">
        <v>317</v>
      </c>
      <c r="D128" s="7" t="s">
        <v>304</v>
      </c>
      <c r="E128" s="7" t="s">
        <v>139</v>
      </c>
      <c r="F128" s="7" t="s">
        <v>305</v>
      </c>
      <c r="G128" s="7" t="n">
        <v>3</v>
      </c>
      <c r="H128" s="7" t="n">
        <v>4</v>
      </c>
      <c r="I128" s="7" t="s">
        <v>715</v>
      </c>
      <c r="J128" s="7" t="s">
        <v>716</v>
      </c>
      <c r="K128" s="7" t="s">
        <v>602</v>
      </c>
      <c r="L128" s="7"/>
    </row>
    <row r="129" customFormat="false" ht="15" hidden="false" customHeight="false" outlineLevel="0" collapsed="false">
      <c r="A129" s="7" t="s">
        <v>717</v>
      </c>
      <c r="B129" s="7" t="s">
        <v>119</v>
      </c>
      <c r="C129" s="7" t="s">
        <v>317</v>
      </c>
      <c r="D129" s="7" t="s">
        <v>304</v>
      </c>
      <c r="E129" s="7" t="s">
        <v>139</v>
      </c>
      <c r="F129" s="7" t="s">
        <v>305</v>
      </c>
      <c r="G129" s="7" t="n">
        <v>3</v>
      </c>
      <c r="H129" s="7" t="n">
        <v>4</v>
      </c>
      <c r="I129" s="7" t="s">
        <v>718</v>
      </c>
      <c r="J129" s="7" t="s">
        <v>719</v>
      </c>
      <c r="K129" s="7" t="s">
        <v>406</v>
      </c>
      <c r="L129" s="7"/>
    </row>
    <row r="130" customFormat="false" ht="15" hidden="false" customHeight="false" outlineLevel="0" collapsed="false">
      <c r="A130" s="7" t="s">
        <v>720</v>
      </c>
      <c r="B130" s="7" t="s">
        <v>119</v>
      </c>
      <c r="C130" s="7" t="s">
        <v>317</v>
      </c>
      <c r="D130" s="7" t="s">
        <v>304</v>
      </c>
      <c r="E130" s="7" t="s">
        <v>135</v>
      </c>
      <c r="F130" s="7" t="s">
        <v>305</v>
      </c>
      <c r="G130" s="7" t="n">
        <v>4</v>
      </c>
      <c r="H130" s="7" t="n">
        <v>3</v>
      </c>
      <c r="I130" s="7" t="s">
        <v>721</v>
      </c>
      <c r="J130" s="7" t="s">
        <v>396</v>
      </c>
      <c r="K130" s="7" t="s">
        <v>315</v>
      </c>
      <c r="L130" s="7"/>
    </row>
    <row r="131" customFormat="false" ht="15" hidden="false" customHeight="false" outlineLevel="0" collapsed="false">
      <c r="A131" s="7" t="s">
        <v>722</v>
      </c>
      <c r="B131" s="7" t="s">
        <v>111</v>
      </c>
      <c r="C131" s="7" t="s">
        <v>317</v>
      </c>
      <c r="D131" s="7" t="s">
        <v>304</v>
      </c>
      <c r="E131" s="7" t="s">
        <v>139</v>
      </c>
      <c r="F131" s="7" t="s">
        <v>305</v>
      </c>
      <c r="G131" s="7" t="n">
        <v>3</v>
      </c>
      <c r="H131" s="7" t="n">
        <v>4</v>
      </c>
      <c r="I131" s="7" t="s">
        <v>723</v>
      </c>
      <c r="J131" s="7" t="s">
        <v>724</v>
      </c>
      <c r="K131" s="7" t="s">
        <v>448</v>
      </c>
      <c r="L131" s="7"/>
    </row>
    <row r="132" customFormat="false" ht="15" hidden="false" customHeight="false" outlineLevel="0" collapsed="false">
      <c r="A132" s="7" t="s">
        <v>725</v>
      </c>
      <c r="B132" s="7" t="s">
        <v>111</v>
      </c>
      <c r="C132" s="7" t="s">
        <v>303</v>
      </c>
      <c r="D132" s="7" t="s">
        <v>304</v>
      </c>
      <c r="E132" s="7" t="s">
        <v>135</v>
      </c>
      <c r="F132" s="7" t="s">
        <v>305</v>
      </c>
      <c r="G132" s="7" t="n">
        <v>4</v>
      </c>
      <c r="H132" s="7" t="n">
        <v>4</v>
      </c>
      <c r="I132" s="7" t="s">
        <v>726</v>
      </c>
      <c r="J132" s="7" t="s">
        <v>323</v>
      </c>
      <c r="K132" s="7" t="s">
        <v>448</v>
      </c>
      <c r="L132" s="7"/>
    </row>
    <row r="133" customFormat="false" ht="15" hidden="false" customHeight="false" outlineLevel="0" collapsed="false">
      <c r="A133" s="7" t="s">
        <v>727</v>
      </c>
      <c r="B133" s="7" t="s">
        <v>111</v>
      </c>
      <c r="C133" s="7" t="s">
        <v>353</v>
      </c>
      <c r="D133" s="7" t="s">
        <v>304</v>
      </c>
      <c r="E133" s="7" t="s">
        <v>139</v>
      </c>
      <c r="F133" s="7" t="s">
        <v>305</v>
      </c>
      <c r="G133" s="7" t="n">
        <v>4</v>
      </c>
      <c r="H133" s="7" t="n">
        <v>3</v>
      </c>
      <c r="I133" s="7" t="s">
        <v>728</v>
      </c>
      <c r="J133" s="7" t="s">
        <v>729</v>
      </c>
      <c r="K133" s="7" t="s">
        <v>346</v>
      </c>
      <c r="L133" s="7"/>
    </row>
    <row r="134" customFormat="false" ht="15" hidden="false" customHeight="false" outlineLevel="0" collapsed="false">
      <c r="A134" s="7" t="s">
        <v>730</v>
      </c>
      <c r="B134" s="7" t="s">
        <v>111</v>
      </c>
      <c r="C134" s="7" t="s">
        <v>353</v>
      </c>
      <c r="D134" s="7" t="s">
        <v>304</v>
      </c>
      <c r="E134" s="7" t="s">
        <v>139</v>
      </c>
      <c r="F134" s="7" t="s">
        <v>305</v>
      </c>
      <c r="G134" s="7" t="n">
        <v>4</v>
      </c>
      <c r="H134" s="7" t="n">
        <v>4</v>
      </c>
      <c r="I134" s="7" t="s">
        <v>731</v>
      </c>
      <c r="J134" s="7" t="s">
        <v>732</v>
      </c>
      <c r="K134" s="7" t="s">
        <v>346</v>
      </c>
      <c r="L134" s="7"/>
    </row>
    <row r="135" customFormat="false" ht="15" hidden="false" customHeight="false" outlineLevel="0" collapsed="false">
      <c r="A135" s="7" t="s">
        <v>733</v>
      </c>
      <c r="B135" s="7" t="s">
        <v>111</v>
      </c>
      <c r="C135" s="7" t="s">
        <v>317</v>
      </c>
      <c r="D135" s="7" t="s">
        <v>304</v>
      </c>
      <c r="E135" s="7" t="s">
        <v>135</v>
      </c>
      <c r="F135" s="7" t="s">
        <v>305</v>
      </c>
      <c r="G135" s="7" t="n">
        <v>4</v>
      </c>
      <c r="H135" s="7" t="n">
        <v>3</v>
      </c>
      <c r="I135" s="7" t="s">
        <v>734</v>
      </c>
      <c r="J135" s="7" t="s">
        <v>735</v>
      </c>
      <c r="K135" s="7" t="s">
        <v>342</v>
      </c>
      <c r="L135" s="7"/>
    </row>
    <row r="136" customFormat="false" ht="15" hidden="false" customHeight="false" outlineLevel="0" collapsed="false">
      <c r="A136" s="7" t="s">
        <v>736</v>
      </c>
      <c r="B136" s="7" t="s">
        <v>111</v>
      </c>
      <c r="C136" s="7" t="s">
        <v>353</v>
      </c>
      <c r="D136" s="7" t="s">
        <v>304</v>
      </c>
      <c r="E136" s="7" t="s">
        <v>142</v>
      </c>
      <c r="F136" s="7" t="s">
        <v>305</v>
      </c>
      <c r="G136" s="7" t="n">
        <v>3</v>
      </c>
      <c r="H136" s="7" t="n">
        <v>4</v>
      </c>
      <c r="I136" s="7" t="s">
        <v>737</v>
      </c>
      <c r="J136" s="7" t="s">
        <v>461</v>
      </c>
      <c r="K136" s="7" t="s">
        <v>406</v>
      </c>
      <c r="L136" s="7"/>
    </row>
    <row r="137" customFormat="false" ht="15" hidden="false" customHeight="false" outlineLevel="0" collapsed="false">
      <c r="A137" s="7" t="s">
        <v>738</v>
      </c>
      <c r="B137" s="7" t="s">
        <v>115</v>
      </c>
      <c r="C137" s="7" t="s">
        <v>303</v>
      </c>
      <c r="D137" s="7" t="s">
        <v>304</v>
      </c>
      <c r="E137" s="7" t="s">
        <v>139</v>
      </c>
      <c r="F137" s="7" t="s">
        <v>305</v>
      </c>
      <c r="G137" s="7" t="n">
        <v>3</v>
      </c>
      <c r="H137" s="7" t="n">
        <v>5</v>
      </c>
      <c r="I137" s="7" t="s">
        <v>739</v>
      </c>
      <c r="J137" s="7" t="s">
        <v>474</v>
      </c>
      <c r="K137" s="7" t="s">
        <v>380</v>
      </c>
      <c r="L137" s="7"/>
    </row>
    <row r="138" customFormat="false" ht="15" hidden="false" customHeight="false" outlineLevel="0" collapsed="false">
      <c r="A138" s="7" t="s">
        <v>740</v>
      </c>
      <c r="B138" s="7" t="s">
        <v>115</v>
      </c>
      <c r="C138" s="7" t="s">
        <v>317</v>
      </c>
      <c r="D138" s="7" t="s">
        <v>304</v>
      </c>
      <c r="E138" s="7" t="s">
        <v>135</v>
      </c>
      <c r="F138" s="7" t="s">
        <v>305</v>
      </c>
      <c r="G138" s="7" t="n">
        <v>3</v>
      </c>
      <c r="H138" s="7" t="n">
        <v>3</v>
      </c>
      <c r="I138" s="7" t="s">
        <v>741</v>
      </c>
      <c r="J138" s="7" t="s">
        <v>498</v>
      </c>
      <c r="K138" s="7" t="s">
        <v>487</v>
      </c>
      <c r="L138" s="7" t="s">
        <v>742</v>
      </c>
    </row>
    <row r="139" customFormat="false" ht="15" hidden="false" customHeight="false" outlineLevel="0" collapsed="false">
      <c r="A139" s="7" t="s">
        <v>743</v>
      </c>
      <c r="B139" s="7" t="s">
        <v>115</v>
      </c>
      <c r="C139" s="7" t="s">
        <v>317</v>
      </c>
      <c r="D139" s="7" t="s">
        <v>304</v>
      </c>
      <c r="E139" s="7" t="s">
        <v>139</v>
      </c>
      <c r="F139" s="7" t="s">
        <v>305</v>
      </c>
      <c r="G139" s="7" t="n">
        <v>3</v>
      </c>
      <c r="H139" s="7" t="n">
        <v>4</v>
      </c>
      <c r="I139" s="7" t="s">
        <v>744</v>
      </c>
      <c r="J139" s="7" t="s">
        <v>745</v>
      </c>
      <c r="K139" s="7" t="s">
        <v>602</v>
      </c>
      <c r="L139" s="7"/>
    </row>
    <row r="140" customFormat="false" ht="15" hidden="false" customHeight="false" outlineLevel="0" collapsed="false">
      <c r="A140" s="7" t="s">
        <v>746</v>
      </c>
      <c r="B140" s="7" t="s">
        <v>115</v>
      </c>
      <c r="C140" s="7" t="s">
        <v>353</v>
      </c>
      <c r="D140" s="7" t="s">
        <v>312</v>
      </c>
      <c r="E140" s="7" t="s">
        <v>139</v>
      </c>
      <c r="F140" s="7" t="s">
        <v>305</v>
      </c>
      <c r="G140" s="7" t="n">
        <v>4</v>
      </c>
      <c r="H140" s="7" t="n">
        <v>3</v>
      </c>
      <c r="I140" s="7" t="s">
        <v>747</v>
      </c>
      <c r="J140" s="7" t="s">
        <v>748</v>
      </c>
      <c r="K140" s="7" t="s">
        <v>749</v>
      </c>
      <c r="L140" s="7"/>
    </row>
    <row r="141" customFormat="false" ht="15" hidden="false" customHeight="false" outlineLevel="0" collapsed="false">
      <c r="A141" s="7" t="s">
        <v>750</v>
      </c>
      <c r="B141" s="7" t="s">
        <v>115</v>
      </c>
      <c r="C141" s="7" t="s">
        <v>353</v>
      </c>
      <c r="D141" s="7" t="s">
        <v>304</v>
      </c>
      <c r="E141" s="7" t="s">
        <v>139</v>
      </c>
      <c r="F141" s="7" t="s">
        <v>305</v>
      </c>
      <c r="G141" s="7" t="n">
        <v>3</v>
      </c>
      <c r="H141" s="7" t="n">
        <v>4</v>
      </c>
      <c r="I141" s="7" t="s">
        <v>751</v>
      </c>
      <c r="J141" s="7" t="s">
        <v>465</v>
      </c>
      <c r="K141" s="7" t="s">
        <v>475</v>
      </c>
      <c r="L141" s="7"/>
    </row>
    <row r="142" customFormat="false" ht="15" hidden="false" customHeight="false" outlineLevel="0" collapsed="false">
      <c r="A142" s="7" t="s">
        <v>752</v>
      </c>
      <c r="B142" s="7" t="s">
        <v>147</v>
      </c>
      <c r="C142" s="7" t="s">
        <v>353</v>
      </c>
      <c r="D142" s="7" t="s">
        <v>304</v>
      </c>
      <c r="E142" s="7" t="s">
        <v>139</v>
      </c>
      <c r="F142" s="7" t="s">
        <v>305</v>
      </c>
      <c r="G142" s="7" t="n">
        <v>3</v>
      </c>
      <c r="H142" s="7" t="n">
        <v>4</v>
      </c>
      <c r="I142" s="7" t="s">
        <v>753</v>
      </c>
      <c r="J142" s="7" t="s">
        <v>754</v>
      </c>
      <c r="K142" s="7" t="s">
        <v>469</v>
      </c>
      <c r="L142" s="7"/>
    </row>
    <row r="143" customFormat="false" ht="15" hidden="false" customHeight="false" outlineLevel="0" collapsed="false">
      <c r="A143" s="7" t="s">
        <v>755</v>
      </c>
      <c r="B143" s="7" t="s">
        <v>147</v>
      </c>
      <c r="C143" s="7" t="s">
        <v>311</v>
      </c>
      <c r="D143" s="7" t="s">
        <v>312</v>
      </c>
      <c r="E143" s="7" t="s">
        <v>135</v>
      </c>
      <c r="F143" s="7" t="s">
        <v>305</v>
      </c>
      <c r="G143" s="7" t="n">
        <v>4</v>
      </c>
      <c r="H143" s="7" t="n">
        <v>2</v>
      </c>
      <c r="I143" s="7" t="s">
        <v>756</v>
      </c>
      <c r="J143" s="7" t="s">
        <v>757</v>
      </c>
      <c r="K143" s="7" t="s">
        <v>360</v>
      </c>
      <c r="L143" s="7"/>
    </row>
    <row r="144" customFormat="false" ht="15" hidden="false" customHeight="false" outlineLevel="0" collapsed="false">
      <c r="A144" s="7" t="s">
        <v>758</v>
      </c>
      <c r="B144" s="7" t="s">
        <v>147</v>
      </c>
      <c r="C144" s="7" t="s">
        <v>303</v>
      </c>
      <c r="D144" s="7" t="s">
        <v>304</v>
      </c>
      <c r="E144" s="7" t="s">
        <v>135</v>
      </c>
      <c r="F144" s="7" t="s">
        <v>403</v>
      </c>
      <c r="G144" s="7" t="n">
        <v>3</v>
      </c>
      <c r="H144" s="7" t="n">
        <v>3</v>
      </c>
      <c r="I144" s="7" t="s">
        <v>759</v>
      </c>
      <c r="J144" s="7" t="s">
        <v>710</v>
      </c>
      <c r="K144" s="7" t="s">
        <v>760</v>
      </c>
      <c r="L144" s="7"/>
    </row>
    <row r="145" customFormat="false" ht="15" hidden="false" customHeight="false" outlineLevel="0" collapsed="false">
      <c r="A145" s="7" t="s">
        <v>761</v>
      </c>
      <c r="B145" s="7" t="s">
        <v>147</v>
      </c>
      <c r="C145" s="7" t="s">
        <v>317</v>
      </c>
      <c r="D145" s="7" t="s">
        <v>312</v>
      </c>
      <c r="E145" s="7" t="s">
        <v>135</v>
      </c>
      <c r="F145" s="7" t="s">
        <v>305</v>
      </c>
      <c r="G145" s="7" t="n">
        <v>4</v>
      </c>
      <c r="H145" s="7" t="n">
        <v>3</v>
      </c>
      <c r="I145" s="7" t="s">
        <v>762</v>
      </c>
      <c r="J145" s="7" t="s">
        <v>763</v>
      </c>
      <c r="K145" s="7" t="s">
        <v>342</v>
      </c>
      <c r="L145" s="7"/>
    </row>
    <row r="146" customFormat="false" ht="15" hidden="false" customHeight="false" outlineLevel="0" collapsed="false">
      <c r="A146" s="7" t="s">
        <v>764</v>
      </c>
      <c r="B146" s="7" t="s">
        <v>105</v>
      </c>
      <c r="C146" s="7" t="s">
        <v>317</v>
      </c>
      <c r="D146" s="7" t="s">
        <v>304</v>
      </c>
      <c r="E146" s="7" t="s">
        <v>135</v>
      </c>
      <c r="F146" s="7" t="s">
        <v>305</v>
      </c>
      <c r="G146" s="7" t="n">
        <v>4</v>
      </c>
      <c r="H146" s="7" t="n">
        <v>3</v>
      </c>
      <c r="I146" s="7" t="s">
        <v>765</v>
      </c>
      <c r="J146" s="7" t="s">
        <v>556</v>
      </c>
      <c r="K146" s="7" t="s">
        <v>448</v>
      </c>
      <c r="L146" s="7"/>
    </row>
    <row r="147" customFormat="false" ht="15" hidden="false" customHeight="false" outlineLevel="0" collapsed="false">
      <c r="A147" s="7" t="s">
        <v>766</v>
      </c>
      <c r="B147" s="7" t="s">
        <v>105</v>
      </c>
      <c r="C147" s="7" t="s">
        <v>317</v>
      </c>
      <c r="D147" s="7" t="s">
        <v>304</v>
      </c>
      <c r="E147" s="7" t="s">
        <v>139</v>
      </c>
      <c r="F147" s="7" t="s">
        <v>305</v>
      </c>
      <c r="G147" s="7" t="n">
        <v>4</v>
      </c>
      <c r="H147" s="7" t="n">
        <v>3</v>
      </c>
      <c r="I147" s="7" t="s">
        <v>767</v>
      </c>
      <c r="J147" s="7" t="s">
        <v>323</v>
      </c>
      <c r="K147" s="7" t="s">
        <v>360</v>
      </c>
      <c r="L147" s="7"/>
    </row>
    <row r="148" customFormat="false" ht="15" hidden="false" customHeight="false" outlineLevel="0" collapsed="false">
      <c r="A148" s="7" t="s">
        <v>768</v>
      </c>
      <c r="B148" s="7" t="s">
        <v>105</v>
      </c>
      <c r="C148" s="7" t="s">
        <v>353</v>
      </c>
      <c r="D148" s="7" t="s">
        <v>312</v>
      </c>
      <c r="E148" s="7" t="s">
        <v>135</v>
      </c>
      <c r="F148" s="7" t="s">
        <v>305</v>
      </c>
      <c r="G148" s="7" t="n">
        <v>4</v>
      </c>
      <c r="H148" s="7" t="n">
        <v>3</v>
      </c>
      <c r="I148" s="7" t="s">
        <v>769</v>
      </c>
      <c r="J148" s="7" t="s">
        <v>396</v>
      </c>
      <c r="K148" s="7" t="s">
        <v>492</v>
      </c>
      <c r="L148" s="7"/>
    </row>
    <row r="149" customFormat="false" ht="15" hidden="false" customHeight="false" outlineLevel="0" collapsed="false">
      <c r="A149" s="7" t="s">
        <v>770</v>
      </c>
      <c r="B149" s="7" t="s">
        <v>105</v>
      </c>
      <c r="C149" s="7" t="s">
        <v>317</v>
      </c>
      <c r="D149" s="7" t="s">
        <v>304</v>
      </c>
      <c r="E149" s="7" t="s">
        <v>139</v>
      </c>
      <c r="F149" s="7" t="s">
        <v>305</v>
      </c>
      <c r="G149" s="7" t="n">
        <v>3</v>
      </c>
      <c r="H149" s="7" t="n">
        <v>4</v>
      </c>
      <c r="I149" s="7" t="s">
        <v>771</v>
      </c>
      <c r="J149" s="7" t="s">
        <v>772</v>
      </c>
      <c r="K149" s="7" t="s">
        <v>360</v>
      </c>
      <c r="L149" s="7"/>
    </row>
    <row r="150" customFormat="false" ht="15" hidden="false" customHeight="false" outlineLevel="0" collapsed="false">
      <c r="A150" s="7" t="s">
        <v>773</v>
      </c>
      <c r="B150" s="7" t="s">
        <v>105</v>
      </c>
      <c r="C150" s="7" t="s">
        <v>303</v>
      </c>
      <c r="D150" s="7" t="s">
        <v>312</v>
      </c>
      <c r="E150" s="7" t="s">
        <v>135</v>
      </c>
      <c r="F150" s="7" t="s">
        <v>305</v>
      </c>
      <c r="G150" s="7" t="n">
        <v>4</v>
      </c>
      <c r="H150" s="7" t="n">
        <v>2</v>
      </c>
      <c r="I150" s="7" t="s">
        <v>774</v>
      </c>
      <c r="J150" s="7" t="s">
        <v>775</v>
      </c>
      <c r="K150" s="7" t="s">
        <v>448</v>
      </c>
      <c r="L150" s="7"/>
    </row>
    <row r="151" customFormat="false" ht="15" hidden="false" customHeight="false" outlineLevel="0" collapsed="false">
      <c r="A151" s="7" t="s">
        <v>776</v>
      </c>
      <c r="B151" s="7" t="s">
        <v>105</v>
      </c>
      <c r="C151" s="7" t="s">
        <v>353</v>
      </c>
      <c r="D151" s="7" t="s">
        <v>304</v>
      </c>
      <c r="E151" s="7" t="s">
        <v>142</v>
      </c>
      <c r="F151" s="7" t="s">
        <v>305</v>
      </c>
      <c r="G151" s="7" t="n">
        <v>3</v>
      </c>
      <c r="H151" s="7" t="n">
        <v>4</v>
      </c>
      <c r="I151" s="7" t="s">
        <v>777</v>
      </c>
      <c r="J151" s="7" t="s">
        <v>465</v>
      </c>
      <c r="K151" s="7" t="s">
        <v>380</v>
      </c>
      <c r="L151" s="7" t="s">
        <v>778</v>
      </c>
    </row>
    <row r="152" customFormat="false" ht="15" hidden="false" customHeight="false" outlineLevel="0" collapsed="false">
      <c r="A152" s="7" t="s">
        <v>779</v>
      </c>
      <c r="B152" s="7" t="s">
        <v>105</v>
      </c>
      <c r="C152" s="7" t="s">
        <v>353</v>
      </c>
      <c r="D152" s="7" t="s">
        <v>304</v>
      </c>
      <c r="E152" s="7" t="s">
        <v>139</v>
      </c>
      <c r="F152" s="7" t="s">
        <v>305</v>
      </c>
      <c r="G152" s="7" t="n">
        <v>3</v>
      </c>
      <c r="H152" s="7" t="n">
        <v>4</v>
      </c>
      <c r="I152" s="7" t="s">
        <v>780</v>
      </c>
      <c r="J152" s="7" t="s">
        <v>437</v>
      </c>
      <c r="K152" s="7" t="s">
        <v>346</v>
      </c>
      <c r="L152" s="7"/>
    </row>
    <row r="153" customFormat="false" ht="15" hidden="false" customHeight="false" outlineLevel="0" collapsed="false">
      <c r="A153" s="7" t="s">
        <v>781</v>
      </c>
      <c r="B153" s="7" t="s">
        <v>105</v>
      </c>
      <c r="C153" s="7" t="s">
        <v>317</v>
      </c>
      <c r="D153" s="7" t="s">
        <v>304</v>
      </c>
      <c r="E153" s="7" t="s">
        <v>139</v>
      </c>
      <c r="F153" s="7" t="s">
        <v>305</v>
      </c>
      <c r="G153" s="7" t="n">
        <v>4</v>
      </c>
      <c r="H153" s="7" t="n">
        <v>3</v>
      </c>
      <c r="I153" s="7" t="s">
        <v>782</v>
      </c>
      <c r="J153" s="7" t="s">
        <v>447</v>
      </c>
      <c r="K153" s="7" t="s">
        <v>380</v>
      </c>
      <c r="L153" s="7"/>
    </row>
    <row r="154" customFormat="false" ht="15" hidden="false" customHeight="false" outlineLevel="0" collapsed="false">
      <c r="A154" s="7" t="s">
        <v>783</v>
      </c>
      <c r="B154" s="7" t="s">
        <v>105</v>
      </c>
      <c r="C154" s="7" t="s">
        <v>317</v>
      </c>
      <c r="D154" s="7" t="s">
        <v>304</v>
      </c>
      <c r="E154" s="7" t="s">
        <v>135</v>
      </c>
      <c r="F154" s="7" t="s">
        <v>305</v>
      </c>
      <c r="G154" s="7" t="n">
        <v>3</v>
      </c>
      <c r="H154" s="7" t="n">
        <v>4</v>
      </c>
      <c r="I154" s="7" t="s">
        <v>784</v>
      </c>
      <c r="J154" s="7" t="s">
        <v>785</v>
      </c>
      <c r="K154" s="7" t="s">
        <v>475</v>
      </c>
      <c r="L154" s="7"/>
    </row>
    <row r="155" customFormat="false" ht="15" hidden="false" customHeight="false" outlineLevel="0" collapsed="false">
      <c r="A155" s="7" t="s">
        <v>786</v>
      </c>
      <c r="B155" s="7" t="s">
        <v>132</v>
      </c>
      <c r="C155" s="7" t="s">
        <v>317</v>
      </c>
      <c r="D155" s="7" t="s">
        <v>304</v>
      </c>
      <c r="E155" s="7" t="s">
        <v>135</v>
      </c>
      <c r="F155" s="7" t="s">
        <v>305</v>
      </c>
      <c r="G155" s="7" t="n">
        <v>3</v>
      </c>
      <c r="H155" s="7" t="n">
        <v>3</v>
      </c>
      <c r="I155" s="7" t="s">
        <v>787</v>
      </c>
      <c r="J155" s="7" t="s">
        <v>560</v>
      </c>
      <c r="K155" s="7" t="s">
        <v>346</v>
      </c>
      <c r="L155" s="7"/>
    </row>
    <row r="156" customFormat="false" ht="15" hidden="false" customHeight="false" outlineLevel="0" collapsed="false">
      <c r="A156" s="7" t="s">
        <v>788</v>
      </c>
      <c r="B156" s="7" t="s">
        <v>132</v>
      </c>
      <c r="C156" s="7" t="s">
        <v>317</v>
      </c>
      <c r="D156" s="7" t="s">
        <v>312</v>
      </c>
      <c r="E156" s="7" t="s">
        <v>135</v>
      </c>
      <c r="F156" s="7" t="s">
        <v>305</v>
      </c>
      <c r="G156" s="7" t="n">
        <v>4</v>
      </c>
      <c r="H156" s="7" t="n">
        <v>2</v>
      </c>
      <c r="I156" s="7" t="s">
        <v>789</v>
      </c>
      <c r="J156" s="7" t="s">
        <v>790</v>
      </c>
      <c r="K156" s="7" t="s">
        <v>360</v>
      </c>
      <c r="L156" s="7"/>
    </row>
    <row r="157" customFormat="false" ht="15" hidden="false" customHeight="false" outlineLevel="0" collapsed="false">
      <c r="A157" s="7" t="s">
        <v>791</v>
      </c>
      <c r="B157" s="7" t="s">
        <v>132</v>
      </c>
      <c r="C157" s="7" t="s">
        <v>317</v>
      </c>
      <c r="D157" s="7" t="s">
        <v>304</v>
      </c>
      <c r="E157" s="7" t="s">
        <v>139</v>
      </c>
      <c r="F157" s="7" t="s">
        <v>305</v>
      </c>
      <c r="G157" s="7" t="n">
        <v>3</v>
      </c>
      <c r="H157" s="7" t="n">
        <v>3</v>
      </c>
      <c r="I157" s="7" t="s">
        <v>792</v>
      </c>
      <c r="J157" s="7" t="s">
        <v>793</v>
      </c>
      <c r="K157" s="7" t="s">
        <v>346</v>
      </c>
      <c r="L157" s="7"/>
    </row>
    <row r="158" customFormat="false" ht="15" hidden="false" customHeight="false" outlineLevel="0" collapsed="false">
      <c r="A158" s="7" t="s">
        <v>794</v>
      </c>
      <c r="B158" s="7" t="s">
        <v>573</v>
      </c>
      <c r="C158" s="7" t="s">
        <v>317</v>
      </c>
      <c r="D158" s="7" t="s">
        <v>304</v>
      </c>
      <c r="E158" s="7" t="s">
        <v>135</v>
      </c>
      <c r="F158" s="7" t="s">
        <v>305</v>
      </c>
      <c r="G158" s="7" t="n">
        <v>4</v>
      </c>
      <c r="H158" s="7" t="n">
        <v>3</v>
      </c>
      <c r="I158" s="7" t="s">
        <v>795</v>
      </c>
      <c r="J158" s="7" t="s">
        <v>796</v>
      </c>
      <c r="K158" s="7" t="s">
        <v>342</v>
      </c>
      <c r="L158" s="7"/>
    </row>
    <row r="159" customFormat="false" ht="15" hidden="false" customHeight="false" outlineLevel="0" collapsed="false">
      <c r="A159" s="7" t="s">
        <v>797</v>
      </c>
      <c r="B159" s="7" t="s">
        <v>573</v>
      </c>
      <c r="C159" s="7" t="s">
        <v>317</v>
      </c>
      <c r="D159" s="7" t="s">
        <v>304</v>
      </c>
      <c r="E159" s="7" t="s">
        <v>135</v>
      </c>
      <c r="F159" s="7" t="s">
        <v>305</v>
      </c>
      <c r="G159" s="7" t="n">
        <v>3</v>
      </c>
      <c r="H159" s="7" t="n">
        <v>4</v>
      </c>
      <c r="I159" s="7" t="s">
        <v>798</v>
      </c>
      <c r="J159" s="7" t="s">
        <v>735</v>
      </c>
      <c r="K159" s="7" t="s">
        <v>614</v>
      </c>
      <c r="L159" s="7"/>
    </row>
    <row r="160" customFormat="false" ht="15" hidden="false" customHeight="false" outlineLevel="0" collapsed="false">
      <c r="A160" s="7" t="s">
        <v>799</v>
      </c>
      <c r="B160" s="7" t="s">
        <v>573</v>
      </c>
      <c r="C160" s="7" t="s">
        <v>330</v>
      </c>
      <c r="D160" s="7" t="s">
        <v>312</v>
      </c>
      <c r="E160" s="7" t="s">
        <v>135</v>
      </c>
      <c r="F160" s="7" t="s">
        <v>305</v>
      </c>
      <c r="G160" s="7" t="n">
        <v>3</v>
      </c>
      <c r="H160" s="7" t="n">
        <v>2</v>
      </c>
      <c r="I160" s="7" t="s">
        <v>800</v>
      </c>
      <c r="J160" s="7" t="s">
        <v>801</v>
      </c>
      <c r="K160" s="7" t="s">
        <v>593</v>
      </c>
      <c r="L160" s="7"/>
    </row>
    <row r="161" customFormat="false" ht="15" hidden="false" customHeight="false" outlineLevel="0" collapsed="false">
      <c r="A161" s="7" t="s">
        <v>802</v>
      </c>
      <c r="B161" s="7" t="s">
        <v>573</v>
      </c>
      <c r="C161" s="7" t="s">
        <v>317</v>
      </c>
      <c r="D161" s="7" t="s">
        <v>312</v>
      </c>
      <c r="E161" s="7" t="s">
        <v>135</v>
      </c>
      <c r="F161" s="7" t="s">
        <v>344</v>
      </c>
      <c r="G161" s="7" t="n">
        <v>3</v>
      </c>
      <c r="H161" s="7" t="n">
        <v>3</v>
      </c>
      <c r="I161" s="7" t="s">
        <v>803</v>
      </c>
      <c r="J161" s="7" t="s">
        <v>442</v>
      </c>
      <c r="K161" s="7" t="s">
        <v>346</v>
      </c>
      <c r="L161" s="7"/>
    </row>
    <row r="162" customFormat="false" ht="15" hidden="false" customHeight="false" outlineLevel="0" collapsed="false">
      <c r="A162" s="7" t="s">
        <v>804</v>
      </c>
      <c r="B162" s="7" t="s">
        <v>590</v>
      </c>
      <c r="C162" s="7" t="s">
        <v>353</v>
      </c>
      <c r="D162" s="7" t="s">
        <v>312</v>
      </c>
      <c r="E162" s="7" t="s">
        <v>139</v>
      </c>
      <c r="F162" s="7" t="s">
        <v>305</v>
      </c>
      <c r="G162" s="7" t="n">
        <v>4</v>
      </c>
      <c r="H162" s="7" t="n">
        <v>3</v>
      </c>
      <c r="I162" s="7" t="s">
        <v>805</v>
      </c>
      <c r="J162" s="7" t="s">
        <v>437</v>
      </c>
      <c r="K162" s="7" t="s">
        <v>614</v>
      </c>
      <c r="L162" s="7"/>
    </row>
    <row r="163" customFormat="false" ht="15" hidden="false" customHeight="false" outlineLevel="0" collapsed="false">
      <c r="A163" s="7" t="s">
        <v>806</v>
      </c>
      <c r="B163" s="7" t="s">
        <v>590</v>
      </c>
      <c r="C163" s="7" t="s">
        <v>317</v>
      </c>
      <c r="D163" s="7" t="s">
        <v>312</v>
      </c>
      <c r="E163" s="7" t="s">
        <v>135</v>
      </c>
      <c r="F163" s="7" t="s">
        <v>305</v>
      </c>
      <c r="G163" s="7" t="n">
        <v>4</v>
      </c>
      <c r="H163" s="7" t="n">
        <v>2</v>
      </c>
      <c r="I163" s="7" t="s">
        <v>807</v>
      </c>
      <c r="J163" s="7" t="s">
        <v>618</v>
      </c>
      <c r="K163" s="7" t="s">
        <v>593</v>
      </c>
      <c r="L163" s="7"/>
    </row>
    <row r="164" customFormat="false" ht="15" hidden="false" customHeight="false" outlineLevel="0" collapsed="false">
      <c r="A164" s="7" t="s">
        <v>808</v>
      </c>
      <c r="B164" s="7" t="s">
        <v>590</v>
      </c>
      <c r="C164" s="7" t="s">
        <v>317</v>
      </c>
      <c r="D164" s="7" t="s">
        <v>304</v>
      </c>
      <c r="E164" s="7" t="s">
        <v>135</v>
      </c>
      <c r="F164" s="7" t="s">
        <v>305</v>
      </c>
      <c r="G164" s="7" t="n">
        <v>3</v>
      </c>
      <c r="H164" s="7" t="n">
        <v>3</v>
      </c>
      <c r="I164" s="7" t="s">
        <v>809</v>
      </c>
      <c r="J164" s="7" t="s">
        <v>341</v>
      </c>
      <c r="K164" s="7" t="s">
        <v>456</v>
      </c>
      <c r="L164" s="7"/>
    </row>
    <row r="165" customFormat="false" ht="15" hidden="false" customHeight="false" outlineLevel="0" collapsed="false">
      <c r="A165" s="7" t="s">
        <v>810</v>
      </c>
      <c r="B165" s="7" t="s">
        <v>590</v>
      </c>
      <c r="C165" s="7" t="s">
        <v>303</v>
      </c>
      <c r="D165" s="7" t="s">
        <v>304</v>
      </c>
      <c r="E165" s="7" t="s">
        <v>135</v>
      </c>
      <c r="F165" s="7" t="s">
        <v>305</v>
      </c>
      <c r="G165" s="7" t="n">
        <v>3</v>
      </c>
      <c r="H165" s="7" t="n">
        <v>5</v>
      </c>
      <c r="I165" s="7" t="s">
        <v>811</v>
      </c>
      <c r="J165" s="7" t="s">
        <v>307</v>
      </c>
      <c r="K165" s="7" t="s">
        <v>487</v>
      </c>
      <c r="L165" s="7"/>
    </row>
    <row r="166" customFormat="false" ht="15" hidden="false" customHeight="false" outlineLevel="0" collapsed="false">
      <c r="A166" s="7" t="s">
        <v>812</v>
      </c>
      <c r="B166" s="7" t="s">
        <v>616</v>
      </c>
      <c r="C166" s="7" t="s">
        <v>330</v>
      </c>
      <c r="D166" s="7" t="s">
        <v>312</v>
      </c>
      <c r="E166" s="7" t="s">
        <v>135</v>
      </c>
      <c r="F166" s="7" t="s">
        <v>305</v>
      </c>
      <c r="G166" s="7" t="n">
        <v>4</v>
      </c>
      <c r="H166" s="7" t="n">
        <v>3</v>
      </c>
      <c r="I166" s="7" t="s">
        <v>813</v>
      </c>
      <c r="J166" s="7" t="s">
        <v>785</v>
      </c>
      <c r="K166" s="7" t="s">
        <v>328</v>
      </c>
      <c r="L166" s="7"/>
    </row>
    <row r="167" customFormat="false" ht="15" hidden="false" customHeight="false" outlineLevel="0" collapsed="false">
      <c r="A167" s="7" t="s">
        <v>814</v>
      </c>
      <c r="B167" s="7" t="s">
        <v>616</v>
      </c>
      <c r="C167" s="7" t="s">
        <v>317</v>
      </c>
      <c r="D167" s="7" t="s">
        <v>312</v>
      </c>
      <c r="E167" s="7" t="s">
        <v>139</v>
      </c>
      <c r="F167" s="7" t="s">
        <v>305</v>
      </c>
      <c r="G167" s="7" t="n">
        <v>4</v>
      </c>
      <c r="H167" s="7" t="n">
        <v>2</v>
      </c>
      <c r="I167" s="7" t="s">
        <v>815</v>
      </c>
      <c r="J167" s="7" t="s">
        <v>785</v>
      </c>
      <c r="K167" s="7" t="s">
        <v>593</v>
      </c>
      <c r="L167" s="7"/>
    </row>
    <row r="168" customFormat="false" ht="15" hidden="false" customHeight="false" outlineLevel="0" collapsed="false">
      <c r="A168" s="7" t="s">
        <v>816</v>
      </c>
      <c r="B168" s="7" t="s">
        <v>616</v>
      </c>
      <c r="C168" s="7" t="s">
        <v>317</v>
      </c>
      <c r="D168" s="7" t="s">
        <v>312</v>
      </c>
      <c r="E168" s="7" t="s">
        <v>135</v>
      </c>
      <c r="F168" s="7" t="s">
        <v>305</v>
      </c>
      <c r="G168" s="7" t="n">
        <v>3</v>
      </c>
      <c r="H168" s="7" t="n">
        <v>3</v>
      </c>
      <c r="I168" s="7" t="s">
        <v>817</v>
      </c>
      <c r="J168" s="7" t="s">
        <v>818</v>
      </c>
      <c r="K168" s="7" t="s">
        <v>593</v>
      </c>
      <c r="L168" s="7"/>
    </row>
    <row r="169" customFormat="false" ht="15" hidden="false" customHeight="false" outlineLevel="0" collapsed="false">
      <c r="A169" s="7" t="s">
        <v>819</v>
      </c>
      <c r="B169" s="7" t="s">
        <v>616</v>
      </c>
      <c r="C169" s="7" t="s">
        <v>303</v>
      </c>
      <c r="D169" s="7" t="s">
        <v>312</v>
      </c>
      <c r="E169" s="7" t="s">
        <v>135</v>
      </c>
      <c r="F169" s="7" t="s">
        <v>305</v>
      </c>
      <c r="G169" s="7" t="n">
        <v>3</v>
      </c>
      <c r="H169" s="7" t="n">
        <v>3</v>
      </c>
      <c r="I169" s="7" t="s">
        <v>820</v>
      </c>
      <c r="J169" s="7" t="s">
        <v>323</v>
      </c>
      <c r="K169" s="7" t="s">
        <v>584</v>
      </c>
      <c r="L169" s="7"/>
    </row>
    <row r="170" customFormat="false" ht="15" hidden="false" customHeight="false" outlineLevel="0" collapsed="false">
      <c r="A170" s="7" t="s">
        <v>821</v>
      </c>
      <c r="B170" s="7" t="s">
        <v>288</v>
      </c>
      <c r="C170" s="7" t="s">
        <v>353</v>
      </c>
      <c r="D170" s="7" t="s">
        <v>304</v>
      </c>
      <c r="E170" s="7" t="s">
        <v>139</v>
      </c>
      <c r="F170" s="7" t="s">
        <v>305</v>
      </c>
      <c r="G170" s="7" t="n">
        <v>4</v>
      </c>
      <c r="H170" s="7" t="n">
        <v>3</v>
      </c>
      <c r="I170" s="7" t="s">
        <v>822</v>
      </c>
      <c r="J170" s="7" t="s">
        <v>465</v>
      </c>
      <c r="K170" s="7" t="s">
        <v>375</v>
      </c>
      <c r="L170" s="7" t="s">
        <v>823</v>
      </c>
    </row>
    <row r="171" customFormat="false" ht="15" hidden="false" customHeight="false" outlineLevel="0" collapsed="false">
      <c r="A171" s="7" t="s">
        <v>824</v>
      </c>
      <c r="B171" s="7" t="s">
        <v>288</v>
      </c>
      <c r="C171" s="7" t="s">
        <v>353</v>
      </c>
      <c r="D171" s="7" t="s">
        <v>304</v>
      </c>
      <c r="E171" s="7" t="s">
        <v>139</v>
      </c>
      <c r="F171" s="7" t="s">
        <v>305</v>
      </c>
      <c r="G171" s="7" t="n">
        <v>3</v>
      </c>
      <c r="H171" s="7" t="n">
        <v>4</v>
      </c>
      <c r="I171" s="7" t="s">
        <v>825</v>
      </c>
      <c r="J171" s="7" t="s">
        <v>826</v>
      </c>
      <c r="K171" s="7" t="s">
        <v>602</v>
      </c>
      <c r="L171" s="7" t="s">
        <v>827</v>
      </c>
    </row>
    <row r="172" customFormat="false" ht="15" hidden="false" customHeight="false" outlineLevel="0" collapsed="false">
      <c r="A172" s="7" t="s">
        <v>828</v>
      </c>
      <c r="B172" s="7" t="s">
        <v>288</v>
      </c>
      <c r="C172" s="7" t="s">
        <v>303</v>
      </c>
      <c r="D172" s="7" t="s">
        <v>304</v>
      </c>
      <c r="E172" s="7" t="s">
        <v>135</v>
      </c>
      <c r="F172" s="7" t="s">
        <v>305</v>
      </c>
      <c r="G172" s="7" t="n">
        <v>3</v>
      </c>
      <c r="H172" s="7" t="n">
        <v>4</v>
      </c>
      <c r="I172" s="7" t="s">
        <v>829</v>
      </c>
      <c r="J172" s="7" t="s">
        <v>830</v>
      </c>
      <c r="K172" s="7" t="s">
        <v>375</v>
      </c>
      <c r="L172" s="7"/>
    </row>
    <row r="173" customFormat="false" ht="15" hidden="false" customHeight="false" outlineLevel="0" collapsed="false">
      <c r="A173" s="7" t="s">
        <v>831</v>
      </c>
      <c r="B173" s="7" t="s">
        <v>288</v>
      </c>
      <c r="C173" s="7" t="s">
        <v>303</v>
      </c>
      <c r="D173" s="7" t="s">
        <v>304</v>
      </c>
      <c r="E173" s="7" t="s">
        <v>135</v>
      </c>
      <c r="F173" s="7" t="s">
        <v>305</v>
      </c>
      <c r="G173" s="7" t="n">
        <v>3</v>
      </c>
      <c r="H173" s="7" t="n">
        <v>3</v>
      </c>
      <c r="I173" s="7" t="s">
        <v>832</v>
      </c>
      <c r="J173" s="7" t="s">
        <v>833</v>
      </c>
      <c r="K173" s="7" t="s">
        <v>375</v>
      </c>
      <c r="L173" s="7"/>
    </row>
    <row r="174" customFormat="false" ht="15" hidden="false" customHeight="false" outlineLevel="0" collapsed="false">
      <c r="A174" s="7" t="s">
        <v>834</v>
      </c>
      <c r="B174" s="7" t="s">
        <v>288</v>
      </c>
      <c r="C174" s="7" t="s">
        <v>317</v>
      </c>
      <c r="D174" s="7" t="s">
        <v>304</v>
      </c>
      <c r="E174" s="7" t="s">
        <v>135</v>
      </c>
      <c r="F174" s="7" t="s">
        <v>305</v>
      </c>
      <c r="G174" s="7" t="n">
        <v>3</v>
      </c>
      <c r="H174" s="7" t="n">
        <v>4</v>
      </c>
      <c r="I174" s="7" t="s">
        <v>835</v>
      </c>
      <c r="J174" s="7" t="s">
        <v>537</v>
      </c>
      <c r="K174" s="7" t="s">
        <v>375</v>
      </c>
      <c r="L174" s="7"/>
    </row>
    <row r="175" customFormat="false" ht="15" hidden="false" customHeight="false" outlineLevel="0" collapsed="false">
      <c r="A175" s="7" t="s">
        <v>836</v>
      </c>
      <c r="B175" s="7" t="s">
        <v>288</v>
      </c>
      <c r="C175" s="7" t="s">
        <v>317</v>
      </c>
      <c r="D175" s="7" t="s">
        <v>304</v>
      </c>
      <c r="E175" s="7" t="s">
        <v>135</v>
      </c>
      <c r="F175" s="7" t="s">
        <v>305</v>
      </c>
      <c r="G175" s="7" t="n">
        <v>3</v>
      </c>
      <c r="H175" s="7" t="n">
        <v>3</v>
      </c>
      <c r="I175" s="7" t="s">
        <v>837</v>
      </c>
      <c r="J175" s="7" t="s">
        <v>838</v>
      </c>
      <c r="K175" s="7" t="s">
        <v>602</v>
      </c>
      <c r="L175" s="7" t="s">
        <v>839</v>
      </c>
    </row>
    <row r="176" customFormat="false" ht="15" hidden="false" customHeight="false" outlineLevel="0" collapsed="false">
      <c r="A176" s="7" t="s">
        <v>840</v>
      </c>
      <c r="B176" s="7" t="s">
        <v>127</v>
      </c>
      <c r="C176" s="7" t="s">
        <v>317</v>
      </c>
      <c r="D176" s="7" t="s">
        <v>304</v>
      </c>
      <c r="E176" s="7" t="s">
        <v>135</v>
      </c>
      <c r="F176" s="7" t="s">
        <v>305</v>
      </c>
      <c r="G176" s="7" t="n">
        <v>3</v>
      </c>
      <c r="H176" s="7" t="n">
        <v>4</v>
      </c>
      <c r="I176" s="7" t="s">
        <v>841</v>
      </c>
      <c r="J176" s="7" t="s">
        <v>842</v>
      </c>
      <c r="K176" s="7" t="s">
        <v>475</v>
      </c>
      <c r="L176" s="7"/>
    </row>
    <row r="177" customFormat="false" ht="15" hidden="false" customHeight="false" outlineLevel="0" collapsed="false">
      <c r="A177" s="7" t="s">
        <v>843</v>
      </c>
      <c r="B177" s="7" t="s">
        <v>127</v>
      </c>
      <c r="C177" s="7" t="s">
        <v>317</v>
      </c>
      <c r="D177" s="7" t="s">
        <v>304</v>
      </c>
      <c r="E177" s="7" t="s">
        <v>139</v>
      </c>
      <c r="F177" s="7" t="s">
        <v>305</v>
      </c>
      <c r="G177" s="7" t="n">
        <v>4</v>
      </c>
      <c r="H177" s="7" t="n">
        <v>3</v>
      </c>
      <c r="I177" s="7" t="s">
        <v>844</v>
      </c>
      <c r="J177" s="7" t="s">
        <v>845</v>
      </c>
      <c r="K177" s="7" t="s">
        <v>375</v>
      </c>
      <c r="L177" s="7"/>
    </row>
    <row r="178" customFormat="false" ht="15" hidden="false" customHeight="false" outlineLevel="0" collapsed="false">
      <c r="A178" s="7" t="s">
        <v>846</v>
      </c>
      <c r="B178" s="7" t="s">
        <v>127</v>
      </c>
      <c r="C178" s="7" t="s">
        <v>353</v>
      </c>
      <c r="D178" s="7" t="s">
        <v>304</v>
      </c>
      <c r="E178" s="7" t="s">
        <v>139</v>
      </c>
      <c r="F178" s="7" t="s">
        <v>305</v>
      </c>
      <c r="G178" s="7" t="n">
        <v>4</v>
      </c>
      <c r="H178" s="7" t="n">
        <v>3</v>
      </c>
      <c r="I178" s="7" t="s">
        <v>847</v>
      </c>
      <c r="J178" s="7" t="s">
        <v>848</v>
      </c>
      <c r="K178" s="7" t="s">
        <v>749</v>
      </c>
      <c r="L178" s="7"/>
    </row>
    <row r="179" customFormat="false" ht="15" hidden="false" customHeight="false" outlineLevel="0" collapsed="false">
      <c r="A179" s="7" t="s">
        <v>849</v>
      </c>
      <c r="B179" s="7" t="s">
        <v>127</v>
      </c>
      <c r="C179" s="7" t="s">
        <v>303</v>
      </c>
      <c r="D179" s="7" t="s">
        <v>304</v>
      </c>
      <c r="E179" s="7" t="s">
        <v>135</v>
      </c>
      <c r="F179" s="7" t="s">
        <v>305</v>
      </c>
      <c r="G179" s="7" t="n">
        <v>3</v>
      </c>
      <c r="H179" s="7" t="n">
        <v>5</v>
      </c>
      <c r="I179" s="7" t="s">
        <v>850</v>
      </c>
      <c r="J179" s="7" t="s">
        <v>851</v>
      </c>
      <c r="K179" s="7" t="s">
        <v>852</v>
      </c>
      <c r="L179" s="7"/>
    </row>
    <row r="180" customFormat="false" ht="15" hidden="false" customHeight="false" outlineLevel="0" collapsed="false">
      <c r="A180" s="7" t="s">
        <v>853</v>
      </c>
      <c r="B180" s="7" t="s">
        <v>127</v>
      </c>
      <c r="C180" s="7" t="s">
        <v>303</v>
      </c>
      <c r="D180" s="7" t="s">
        <v>304</v>
      </c>
      <c r="E180" s="7" t="s">
        <v>135</v>
      </c>
      <c r="F180" s="7" t="s">
        <v>305</v>
      </c>
      <c r="G180" s="7" t="n">
        <v>3</v>
      </c>
      <c r="H180" s="7" t="n">
        <v>4</v>
      </c>
      <c r="I180" s="7" t="s">
        <v>854</v>
      </c>
      <c r="J180" s="7" t="s">
        <v>323</v>
      </c>
      <c r="K180" s="7" t="s">
        <v>749</v>
      </c>
      <c r="L180" s="7"/>
    </row>
    <row r="181" customFormat="false" ht="15" hidden="false" customHeight="false" outlineLevel="0" collapsed="false">
      <c r="A181" s="7" t="s">
        <v>855</v>
      </c>
      <c r="B181" s="7" t="s">
        <v>127</v>
      </c>
      <c r="C181" s="7" t="s">
        <v>317</v>
      </c>
      <c r="D181" s="7" t="s">
        <v>304</v>
      </c>
      <c r="E181" s="7" t="s">
        <v>139</v>
      </c>
      <c r="F181" s="7" t="s">
        <v>305</v>
      </c>
      <c r="G181" s="7" t="n">
        <v>3</v>
      </c>
      <c r="H181" s="7" t="n">
        <v>4</v>
      </c>
      <c r="I181" s="7" t="s">
        <v>856</v>
      </c>
      <c r="J181" s="7" t="s">
        <v>643</v>
      </c>
      <c r="K181" s="7" t="s">
        <v>749</v>
      </c>
      <c r="L181" s="7"/>
    </row>
    <row r="182" customFormat="false" ht="15" hidden="false" customHeight="false" outlineLevel="0" collapsed="false">
      <c r="A182" s="7" t="s">
        <v>857</v>
      </c>
      <c r="B182" s="7" t="s">
        <v>127</v>
      </c>
      <c r="C182" s="7" t="s">
        <v>303</v>
      </c>
      <c r="D182" s="7" t="s">
        <v>304</v>
      </c>
      <c r="E182" s="7" t="s">
        <v>135</v>
      </c>
      <c r="F182" s="7" t="s">
        <v>305</v>
      </c>
      <c r="G182" s="7" t="n">
        <v>3</v>
      </c>
      <c r="H182" s="7" t="n">
        <v>5</v>
      </c>
      <c r="I182" s="7" t="s">
        <v>858</v>
      </c>
      <c r="J182" s="7" t="s">
        <v>409</v>
      </c>
      <c r="K182" s="7" t="s">
        <v>469</v>
      </c>
      <c r="L182" s="7"/>
    </row>
    <row r="183" customFormat="false" ht="15" hidden="false" customHeight="false" outlineLevel="0" collapsed="false">
      <c r="A183" s="7" t="s">
        <v>859</v>
      </c>
      <c r="B183" s="7" t="s">
        <v>302</v>
      </c>
      <c r="C183" s="7" t="s">
        <v>303</v>
      </c>
      <c r="D183" s="7" t="s">
        <v>304</v>
      </c>
      <c r="E183" s="7" t="s">
        <v>130</v>
      </c>
      <c r="F183" s="7" t="s">
        <v>305</v>
      </c>
      <c r="G183" s="7" t="n">
        <v>2</v>
      </c>
      <c r="H183" s="7" t="n">
        <v>4</v>
      </c>
      <c r="I183" s="7" t="s">
        <v>860</v>
      </c>
      <c r="J183" s="7" t="s">
        <v>861</v>
      </c>
      <c r="K183" s="7" t="s">
        <v>315</v>
      </c>
      <c r="L183" s="7"/>
    </row>
    <row r="184" customFormat="false" ht="15" hidden="false" customHeight="false" outlineLevel="0" collapsed="false">
      <c r="A184" s="7" t="s">
        <v>862</v>
      </c>
      <c r="B184" s="7" t="s">
        <v>143</v>
      </c>
      <c r="C184" s="7" t="s">
        <v>317</v>
      </c>
      <c r="D184" s="7" t="s">
        <v>304</v>
      </c>
      <c r="E184" s="7" t="s">
        <v>135</v>
      </c>
      <c r="F184" s="7" t="s">
        <v>305</v>
      </c>
      <c r="G184" s="7" t="n">
        <v>4</v>
      </c>
      <c r="H184" s="7" t="n">
        <v>4</v>
      </c>
      <c r="I184" s="7" t="s">
        <v>863</v>
      </c>
      <c r="J184" s="7" t="s">
        <v>864</v>
      </c>
      <c r="K184" s="7" t="s">
        <v>338</v>
      </c>
      <c r="L184" s="7"/>
    </row>
    <row r="185" customFormat="false" ht="15" hidden="false" customHeight="false" outlineLevel="0" collapsed="false">
      <c r="A185" s="7" t="s">
        <v>865</v>
      </c>
      <c r="B185" s="7" t="s">
        <v>119</v>
      </c>
      <c r="C185" s="7" t="s">
        <v>303</v>
      </c>
      <c r="D185" s="7" t="s">
        <v>304</v>
      </c>
      <c r="E185" s="7" t="s">
        <v>135</v>
      </c>
      <c r="F185" s="7" t="s">
        <v>403</v>
      </c>
      <c r="G185" s="7" t="n">
        <v>3</v>
      </c>
      <c r="H185" s="7" t="n">
        <v>4</v>
      </c>
      <c r="I185" s="7" t="s">
        <v>866</v>
      </c>
      <c r="J185" s="7" t="s">
        <v>867</v>
      </c>
      <c r="K185" s="7" t="s">
        <v>397</v>
      </c>
      <c r="L185" s="7"/>
    </row>
    <row r="186" customFormat="false" ht="15" hidden="false" customHeight="false" outlineLevel="0" collapsed="false">
      <c r="A186" s="7" t="s">
        <v>868</v>
      </c>
      <c r="B186" s="7" t="s">
        <v>119</v>
      </c>
      <c r="C186" s="7" t="s">
        <v>317</v>
      </c>
      <c r="D186" s="7" t="s">
        <v>304</v>
      </c>
      <c r="E186" s="7" t="s">
        <v>135</v>
      </c>
      <c r="F186" s="7" t="s">
        <v>305</v>
      </c>
      <c r="G186" s="7" t="n">
        <v>4</v>
      </c>
      <c r="H186" s="7" t="n">
        <v>4</v>
      </c>
      <c r="I186" s="7" t="s">
        <v>869</v>
      </c>
      <c r="J186" s="7" t="s">
        <v>393</v>
      </c>
      <c r="K186" s="7" t="s">
        <v>406</v>
      </c>
      <c r="L186" s="7"/>
    </row>
    <row r="187" customFormat="false" ht="15" hidden="false" customHeight="false" outlineLevel="0" collapsed="false">
      <c r="A187" s="7" t="s">
        <v>870</v>
      </c>
      <c r="B187" s="7" t="s">
        <v>111</v>
      </c>
      <c r="C187" s="7" t="s">
        <v>303</v>
      </c>
      <c r="D187" s="7" t="s">
        <v>312</v>
      </c>
      <c r="E187" s="7" t="s">
        <v>135</v>
      </c>
      <c r="F187" s="7" t="s">
        <v>305</v>
      </c>
      <c r="G187" s="7" t="n">
        <v>3</v>
      </c>
      <c r="H187" s="7" t="n">
        <v>3</v>
      </c>
      <c r="I187" s="7" t="s">
        <v>871</v>
      </c>
      <c r="J187" s="7" t="s">
        <v>833</v>
      </c>
      <c r="K187" s="7" t="s">
        <v>342</v>
      </c>
      <c r="L187" s="7"/>
    </row>
    <row r="188" customFormat="false" ht="15" hidden="false" customHeight="false" outlineLevel="0" collapsed="false">
      <c r="A188" s="7" t="s">
        <v>872</v>
      </c>
      <c r="B188" s="7" t="s">
        <v>111</v>
      </c>
      <c r="C188" s="7" t="s">
        <v>317</v>
      </c>
      <c r="D188" s="7" t="s">
        <v>312</v>
      </c>
      <c r="E188" s="7" t="s">
        <v>135</v>
      </c>
      <c r="F188" s="7" t="s">
        <v>305</v>
      </c>
      <c r="G188" s="7" t="n">
        <v>3</v>
      </c>
      <c r="H188" s="7" t="n">
        <v>3</v>
      </c>
      <c r="I188" s="7" t="s">
        <v>873</v>
      </c>
      <c r="J188" s="7" t="s">
        <v>319</v>
      </c>
      <c r="K188" s="7" t="s">
        <v>360</v>
      </c>
      <c r="L188" s="7"/>
    </row>
    <row r="189" customFormat="false" ht="15" hidden="false" customHeight="false" outlineLevel="0" collapsed="false">
      <c r="A189" s="7" t="s">
        <v>874</v>
      </c>
      <c r="B189" s="7" t="s">
        <v>111</v>
      </c>
      <c r="C189" s="7" t="s">
        <v>317</v>
      </c>
      <c r="D189" s="7" t="s">
        <v>312</v>
      </c>
      <c r="E189" s="7" t="s">
        <v>139</v>
      </c>
      <c r="F189" s="7" t="s">
        <v>305</v>
      </c>
      <c r="G189" s="7" t="n">
        <v>4</v>
      </c>
      <c r="H189" s="7" t="n">
        <v>3</v>
      </c>
      <c r="I189" s="7" t="s">
        <v>875</v>
      </c>
      <c r="J189" s="7" t="s">
        <v>876</v>
      </c>
      <c r="K189" s="7" t="s">
        <v>360</v>
      </c>
      <c r="L189" s="7"/>
    </row>
    <row r="190" customFormat="false" ht="15" hidden="false" customHeight="false" outlineLevel="0" collapsed="false">
      <c r="A190" s="7" t="s">
        <v>877</v>
      </c>
      <c r="B190" s="7" t="s">
        <v>115</v>
      </c>
      <c r="C190" s="7" t="s">
        <v>353</v>
      </c>
      <c r="D190" s="7" t="s">
        <v>304</v>
      </c>
      <c r="E190" s="7" t="s">
        <v>139</v>
      </c>
      <c r="F190" s="7" t="s">
        <v>305</v>
      </c>
      <c r="G190" s="7" t="n">
        <v>4</v>
      </c>
      <c r="H190" s="7" t="n">
        <v>4</v>
      </c>
      <c r="I190" s="7" t="s">
        <v>878</v>
      </c>
      <c r="J190" s="7" t="s">
        <v>465</v>
      </c>
      <c r="K190" s="7" t="s">
        <v>469</v>
      </c>
      <c r="L190" s="7"/>
    </row>
    <row r="191" customFormat="false" ht="15" hidden="false" customHeight="false" outlineLevel="0" collapsed="false">
      <c r="A191" s="7" t="s">
        <v>879</v>
      </c>
      <c r="B191" s="7" t="s">
        <v>115</v>
      </c>
      <c r="C191" s="7" t="s">
        <v>303</v>
      </c>
      <c r="D191" s="7" t="s">
        <v>304</v>
      </c>
      <c r="E191" s="7" t="s">
        <v>135</v>
      </c>
      <c r="F191" s="7" t="s">
        <v>305</v>
      </c>
      <c r="G191" s="7" t="n">
        <v>4</v>
      </c>
      <c r="H191" s="7" t="n">
        <v>5</v>
      </c>
      <c r="I191" s="7" t="s">
        <v>880</v>
      </c>
      <c r="J191" s="7" t="s">
        <v>851</v>
      </c>
      <c r="K191" s="7" t="s">
        <v>469</v>
      </c>
      <c r="L191" s="7"/>
    </row>
    <row r="192" customFormat="false" ht="15" hidden="false" customHeight="false" outlineLevel="0" collapsed="false">
      <c r="A192" s="7" t="s">
        <v>881</v>
      </c>
      <c r="B192" s="7" t="s">
        <v>115</v>
      </c>
      <c r="C192" s="7" t="s">
        <v>303</v>
      </c>
      <c r="D192" s="7" t="s">
        <v>304</v>
      </c>
      <c r="E192" s="7" t="s">
        <v>139</v>
      </c>
      <c r="F192" s="7" t="s">
        <v>403</v>
      </c>
      <c r="G192" s="7" t="n">
        <v>3</v>
      </c>
      <c r="H192" s="7" t="n">
        <v>5</v>
      </c>
      <c r="I192" s="7" t="s">
        <v>882</v>
      </c>
      <c r="J192" s="7" t="s">
        <v>883</v>
      </c>
      <c r="K192" s="7" t="s">
        <v>852</v>
      </c>
      <c r="L192" s="7"/>
    </row>
    <row r="193" customFormat="false" ht="15" hidden="false" customHeight="false" outlineLevel="0" collapsed="false">
      <c r="A193" s="7" t="s">
        <v>884</v>
      </c>
      <c r="B193" s="7" t="s">
        <v>115</v>
      </c>
      <c r="C193" s="7" t="s">
        <v>353</v>
      </c>
      <c r="D193" s="7" t="s">
        <v>312</v>
      </c>
      <c r="E193" s="7" t="s">
        <v>139</v>
      </c>
      <c r="F193" s="7" t="s">
        <v>403</v>
      </c>
      <c r="G193" s="7" t="n">
        <v>4</v>
      </c>
      <c r="H193" s="7" t="n">
        <v>4</v>
      </c>
      <c r="I193" s="7" t="s">
        <v>885</v>
      </c>
      <c r="J193" s="7" t="s">
        <v>886</v>
      </c>
      <c r="K193" s="7" t="s">
        <v>887</v>
      </c>
      <c r="L193" s="7"/>
    </row>
    <row r="194" customFormat="false" ht="15" hidden="false" customHeight="false" outlineLevel="0" collapsed="false">
      <c r="A194" s="7" t="s">
        <v>888</v>
      </c>
      <c r="B194" s="7" t="s">
        <v>147</v>
      </c>
      <c r="C194" s="7" t="s">
        <v>317</v>
      </c>
      <c r="D194" s="7" t="s">
        <v>304</v>
      </c>
      <c r="E194" s="7" t="s">
        <v>139</v>
      </c>
      <c r="F194" s="7" t="s">
        <v>305</v>
      </c>
      <c r="G194" s="7" t="n">
        <v>4</v>
      </c>
      <c r="H194" s="7" t="n">
        <v>3</v>
      </c>
      <c r="I194" s="7" t="s">
        <v>889</v>
      </c>
      <c r="J194" s="7" t="s">
        <v>890</v>
      </c>
      <c r="K194" s="7" t="s">
        <v>492</v>
      </c>
      <c r="L194" s="7"/>
    </row>
    <row r="195" customFormat="false" ht="15" hidden="false" customHeight="false" outlineLevel="0" collapsed="false">
      <c r="A195" s="7" t="s">
        <v>891</v>
      </c>
      <c r="B195" s="7" t="s">
        <v>147</v>
      </c>
      <c r="C195" s="7" t="s">
        <v>353</v>
      </c>
      <c r="D195" s="7" t="s">
        <v>312</v>
      </c>
      <c r="E195" s="7" t="s">
        <v>135</v>
      </c>
      <c r="F195" s="7" t="s">
        <v>403</v>
      </c>
      <c r="G195" s="7" t="n">
        <v>4</v>
      </c>
      <c r="H195" s="7" t="n">
        <v>3</v>
      </c>
      <c r="I195" s="7" t="s">
        <v>892</v>
      </c>
      <c r="J195" s="7" t="s">
        <v>893</v>
      </c>
      <c r="K195" s="7" t="s">
        <v>760</v>
      </c>
      <c r="L195" s="7"/>
    </row>
    <row r="196" customFormat="false" ht="15" hidden="false" customHeight="false" outlineLevel="0" collapsed="false">
      <c r="A196" s="7" t="s">
        <v>894</v>
      </c>
      <c r="B196" s="7" t="s">
        <v>105</v>
      </c>
      <c r="C196" s="7" t="s">
        <v>353</v>
      </c>
      <c r="D196" s="7" t="s">
        <v>304</v>
      </c>
      <c r="E196" s="7" t="s">
        <v>139</v>
      </c>
      <c r="F196" s="7" t="s">
        <v>305</v>
      </c>
      <c r="G196" s="7" t="n">
        <v>4</v>
      </c>
      <c r="H196" s="7" t="n">
        <v>3</v>
      </c>
      <c r="I196" s="7" t="s">
        <v>895</v>
      </c>
      <c r="J196" s="7" t="s">
        <v>896</v>
      </c>
      <c r="K196" s="7" t="s">
        <v>492</v>
      </c>
      <c r="L196" s="7"/>
    </row>
    <row r="197" customFormat="false" ht="15" hidden="false" customHeight="false" outlineLevel="0" collapsed="false">
      <c r="A197" s="7" t="s">
        <v>897</v>
      </c>
      <c r="B197" s="7" t="s">
        <v>105</v>
      </c>
      <c r="C197" s="7" t="s">
        <v>303</v>
      </c>
      <c r="D197" s="7" t="s">
        <v>304</v>
      </c>
      <c r="E197" s="7" t="s">
        <v>139</v>
      </c>
      <c r="F197" s="7" t="s">
        <v>305</v>
      </c>
      <c r="G197" s="7" t="n">
        <v>4</v>
      </c>
      <c r="H197" s="7" t="n">
        <v>4</v>
      </c>
      <c r="I197" s="7" t="s">
        <v>898</v>
      </c>
      <c r="J197" s="7" t="s">
        <v>323</v>
      </c>
      <c r="K197" s="7" t="s">
        <v>380</v>
      </c>
      <c r="L197" s="7"/>
    </row>
    <row r="198" customFormat="false" ht="15" hidden="false" customHeight="false" outlineLevel="0" collapsed="false">
      <c r="A198" s="7" t="s">
        <v>899</v>
      </c>
      <c r="B198" s="7" t="s">
        <v>105</v>
      </c>
      <c r="C198" s="7" t="s">
        <v>353</v>
      </c>
      <c r="D198" s="7" t="s">
        <v>304</v>
      </c>
      <c r="E198" s="7" t="s">
        <v>142</v>
      </c>
      <c r="F198" s="7" t="s">
        <v>305</v>
      </c>
      <c r="G198" s="7" t="n">
        <v>3</v>
      </c>
      <c r="H198" s="7" t="n">
        <v>4</v>
      </c>
      <c r="I198" s="7" t="s">
        <v>900</v>
      </c>
      <c r="J198" s="7" t="s">
        <v>465</v>
      </c>
      <c r="K198" s="7" t="s">
        <v>670</v>
      </c>
      <c r="L198" s="7"/>
    </row>
    <row r="199" customFormat="false" ht="15" hidden="false" customHeight="false" outlineLevel="0" collapsed="false">
      <c r="A199" s="7" t="s">
        <v>901</v>
      </c>
      <c r="B199" s="7" t="s">
        <v>132</v>
      </c>
      <c r="C199" s="7" t="s">
        <v>317</v>
      </c>
      <c r="D199" s="7" t="s">
        <v>304</v>
      </c>
      <c r="E199" s="7" t="s">
        <v>135</v>
      </c>
      <c r="F199" s="7" t="s">
        <v>344</v>
      </c>
      <c r="G199" s="7" t="n">
        <v>4</v>
      </c>
      <c r="H199" s="7" t="n">
        <v>3</v>
      </c>
      <c r="I199" s="7" t="s">
        <v>902</v>
      </c>
      <c r="J199" s="7" t="s">
        <v>537</v>
      </c>
      <c r="K199" s="7" t="s">
        <v>360</v>
      </c>
      <c r="L199" s="7"/>
    </row>
    <row r="200" customFormat="false" ht="15" hidden="false" customHeight="false" outlineLevel="0" collapsed="false">
      <c r="A200" s="7" t="s">
        <v>903</v>
      </c>
      <c r="B200" s="7" t="s">
        <v>132</v>
      </c>
      <c r="C200" s="7" t="s">
        <v>317</v>
      </c>
      <c r="D200" s="7" t="s">
        <v>304</v>
      </c>
      <c r="E200" s="7" t="s">
        <v>139</v>
      </c>
      <c r="F200" s="7" t="s">
        <v>305</v>
      </c>
      <c r="G200" s="7" t="n">
        <v>4</v>
      </c>
      <c r="H200" s="7" t="n">
        <v>3</v>
      </c>
      <c r="I200" s="7" t="s">
        <v>904</v>
      </c>
      <c r="J200" s="7" t="s">
        <v>745</v>
      </c>
      <c r="K200" s="7" t="s">
        <v>346</v>
      </c>
      <c r="L200" s="7"/>
    </row>
    <row r="201" customFormat="false" ht="15" hidden="false" customHeight="false" outlineLevel="0" collapsed="false">
      <c r="A201" s="7" t="s">
        <v>905</v>
      </c>
      <c r="B201" s="7" t="s">
        <v>590</v>
      </c>
      <c r="C201" s="7" t="s">
        <v>317</v>
      </c>
      <c r="D201" s="7" t="s">
        <v>312</v>
      </c>
      <c r="E201" s="7" t="s">
        <v>135</v>
      </c>
      <c r="F201" s="7" t="s">
        <v>305</v>
      </c>
      <c r="G201" s="7" t="n">
        <v>4</v>
      </c>
      <c r="H201" s="7" t="n">
        <v>3</v>
      </c>
      <c r="I201" s="7" t="s">
        <v>906</v>
      </c>
      <c r="J201" s="7" t="s">
        <v>618</v>
      </c>
      <c r="K201" s="7" t="s">
        <v>593</v>
      </c>
      <c r="L201" s="7"/>
    </row>
    <row r="202" customFormat="false" ht="15" hidden="false" customHeight="false" outlineLevel="0" collapsed="false">
      <c r="A202" s="7" t="s">
        <v>907</v>
      </c>
      <c r="B202" s="7" t="s">
        <v>590</v>
      </c>
      <c r="C202" s="7" t="s">
        <v>303</v>
      </c>
      <c r="D202" s="7" t="s">
        <v>304</v>
      </c>
      <c r="E202" s="7" t="s">
        <v>135</v>
      </c>
      <c r="F202" s="7" t="s">
        <v>305</v>
      </c>
      <c r="G202" s="7" t="n">
        <v>4</v>
      </c>
      <c r="H202" s="7" t="n">
        <v>4</v>
      </c>
      <c r="I202" s="7" t="s">
        <v>908</v>
      </c>
      <c r="J202" s="7" t="s">
        <v>909</v>
      </c>
      <c r="K202" s="7" t="s">
        <v>614</v>
      </c>
      <c r="L202" s="7"/>
    </row>
    <row r="203" customFormat="false" ht="15" hidden="false" customHeight="false" outlineLevel="0" collapsed="false">
      <c r="A203" s="7" t="s">
        <v>910</v>
      </c>
      <c r="B203" s="7" t="s">
        <v>616</v>
      </c>
      <c r="C203" s="7" t="s">
        <v>353</v>
      </c>
      <c r="D203" s="7" t="s">
        <v>304</v>
      </c>
      <c r="E203" s="7" t="s">
        <v>139</v>
      </c>
      <c r="F203" s="7" t="s">
        <v>305</v>
      </c>
      <c r="G203" s="7" t="n">
        <v>4</v>
      </c>
      <c r="H203" s="7" t="n">
        <v>4</v>
      </c>
      <c r="I203" s="7" t="s">
        <v>911</v>
      </c>
      <c r="J203" s="7" t="s">
        <v>912</v>
      </c>
      <c r="K203" s="7" t="s">
        <v>614</v>
      </c>
      <c r="L203" s="7"/>
    </row>
    <row r="204" customFormat="false" ht="15" hidden="false" customHeight="false" outlineLevel="0" collapsed="false">
      <c r="A204" s="7" t="s">
        <v>913</v>
      </c>
      <c r="B204" s="7" t="s">
        <v>616</v>
      </c>
      <c r="C204" s="7" t="s">
        <v>317</v>
      </c>
      <c r="D204" s="7" t="s">
        <v>312</v>
      </c>
      <c r="E204" s="7" t="s">
        <v>135</v>
      </c>
      <c r="F204" s="7" t="s">
        <v>305</v>
      </c>
      <c r="G204" s="7" t="n">
        <v>4</v>
      </c>
      <c r="H204" s="7" t="n">
        <v>3</v>
      </c>
      <c r="I204" s="7" t="s">
        <v>914</v>
      </c>
      <c r="J204" s="7" t="s">
        <v>455</v>
      </c>
      <c r="K204" s="7" t="s">
        <v>614</v>
      </c>
      <c r="L204" s="7"/>
    </row>
    <row r="205" customFormat="false" ht="15" hidden="false" customHeight="false" outlineLevel="0" collapsed="false">
      <c r="A205" s="7" t="s">
        <v>915</v>
      </c>
      <c r="B205" s="7" t="s">
        <v>127</v>
      </c>
      <c r="C205" s="7" t="s">
        <v>353</v>
      </c>
      <c r="D205" s="7" t="s">
        <v>304</v>
      </c>
      <c r="E205" s="7" t="s">
        <v>139</v>
      </c>
      <c r="F205" s="7" t="s">
        <v>305</v>
      </c>
      <c r="G205" s="7" t="n">
        <v>3</v>
      </c>
      <c r="H205" s="7" t="n">
        <v>4</v>
      </c>
      <c r="I205" s="7" t="s">
        <v>916</v>
      </c>
      <c r="J205" s="7" t="s">
        <v>649</v>
      </c>
      <c r="K205" s="7" t="s">
        <v>749</v>
      </c>
      <c r="L205" s="7"/>
    </row>
    <row r="206" customFormat="false" ht="15" hidden="false" customHeight="false" outlineLevel="0" collapsed="false">
      <c r="A206" s="7" t="s">
        <v>917</v>
      </c>
      <c r="B206" s="7" t="s">
        <v>127</v>
      </c>
      <c r="C206" s="7" t="s">
        <v>317</v>
      </c>
      <c r="D206" s="7" t="s">
        <v>304</v>
      </c>
      <c r="E206" s="7" t="s">
        <v>139</v>
      </c>
      <c r="F206" s="7" t="s">
        <v>305</v>
      </c>
      <c r="G206" s="7" t="n">
        <v>3</v>
      </c>
      <c r="H206" s="7" t="n">
        <v>5</v>
      </c>
      <c r="I206" s="7" t="s">
        <v>918</v>
      </c>
      <c r="J206" s="7" t="s">
        <v>919</v>
      </c>
      <c r="K206" s="7" t="s">
        <v>749</v>
      </c>
      <c r="L206" s="7"/>
    </row>
  </sheetData>
  <autoFilter ref="A1:L2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2026-10-07T14:43:25Z</dcterms:created>
  <dc:creator>openpyxl</dc:creator>
  <dc:description/>
  <dc:language>en-US</dc:language>
  <cp:lastModifiedBy/>
  <dcterms:modified xsi:type="dcterms:W3CDTF">2026-10-07T14:43:25Z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